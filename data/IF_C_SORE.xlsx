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arisman.pili\Documents\"/>
    </mc:Choice>
  </mc:AlternateContent>
  <xr:revisionPtr revIDLastSave="0" documentId="13_ncr:1_{850B7988-9537-44BC-BAC9-C57BD53C3BD3}" xr6:coauthVersionLast="47" xr6:coauthVersionMax="47" xr10:uidLastSave="{00000000-0000-0000-0000-000000000000}"/>
  <bookViews>
    <workbookView xWindow="-110" yWindow="-110" windowWidth="19420" windowHeight="10420" xr2:uid="{0829CCB5-CD58-45BD-9C8E-DA118EA81B3C}"/>
  </bookViews>
  <sheets>
    <sheet name="upload" sheetId="1" r:id="rId1"/>
  </sheets>
  <externalReferences>
    <externalReference r:id="rId2"/>
    <externalReference r:id="rId3"/>
  </externalReferences>
  <definedNames>
    <definedName name="_xlnm._FilterDatabase" localSheetId="0" hidden="1">upload!$A$11:$X$11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3" i="1" l="1"/>
  <c r="G63" i="1" a="1"/>
  <c r="G63" i="1" s="1"/>
  <c r="F63" i="1"/>
  <c r="F63" i="1" a="1"/>
  <c r="R62" i="1"/>
  <c r="G62" i="1" a="1"/>
  <c r="G62" i="1" s="1"/>
  <c r="F62" i="1"/>
  <c r="F62" i="1" a="1"/>
  <c r="R61" i="1"/>
  <c r="G61" i="1" a="1"/>
  <c r="G61" i="1" s="1"/>
  <c r="F61" i="1"/>
  <c r="F61" i="1" a="1"/>
  <c r="R60" i="1"/>
  <c r="G60" i="1" a="1"/>
  <c r="G60" i="1" s="1"/>
  <c r="F60" i="1"/>
  <c r="V60" i="1" s="1"/>
  <c r="X60" i="1" s="1"/>
  <c r="F60" i="1" a="1"/>
  <c r="R59" i="1"/>
  <c r="G59" i="1" a="1"/>
  <c r="G59" i="1" s="1"/>
  <c r="F59" i="1"/>
  <c r="F59" i="1" a="1"/>
  <c r="R58" i="1"/>
  <c r="G58" i="1" a="1"/>
  <c r="G58" i="1" s="1"/>
  <c r="F58" i="1"/>
  <c r="F58" i="1" a="1"/>
  <c r="R57" i="1"/>
  <c r="G57" i="1" a="1"/>
  <c r="G57" i="1" s="1"/>
  <c r="F57" i="1"/>
  <c r="F57" i="1" a="1"/>
  <c r="R56" i="1"/>
  <c r="G56" i="1" a="1"/>
  <c r="G56" i="1" s="1"/>
  <c r="F56" i="1"/>
  <c r="F56" i="1" a="1"/>
  <c r="R55" i="1"/>
  <c r="G55" i="1"/>
  <c r="G55" i="1" a="1"/>
  <c r="F55" i="1"/>
  <c r="V55" i="1" s="1"/>
  <c r="X55" i="1" s="1"/>
  <c r="F55" i="1" a="1"/>
  <c r="R54" i="1"/>
  <c r="G54" i="1" a="1"/>
  <c r="G54" i="1" s="1"/>
  <c r="F54" i="1"/>
  <c r="F54" i="1" a="1"/>
  <c r="R53" i="1"/>
  <c r="G53" i="1"/>
  <c r="G53" i="1" a="1"/>
  <c r="F53" i="1"/>
  <c r="F53" i="1" a="1"/>
  <c r="R52" i="1"/>
  <c r="G52" i="1" a="1"/>
  <c r="G52" i="1" s="1"/>
  <c r="F52" i="1"/>
  <c r="F52" i="1" a="1"/>
  <c r="R51" i="1"/>
  <c r="G51" i="1"/>
  <c r="G51" i="1" a="1"/>
  <c r="F51" i="1"/>
  <c r="V51" i="1" s="1"/>
  <c r="X51" i="1" s="1"/>
  <c r="F51" i="1" a="1"/>
  <c r="G50" i="1" a="1"/>
  <c r="G50" i="1" s="1"/>
  <c r="F50" i="1"/>
  <c r="F50" i="1" a="1"/>
  <c r="V49" i="1"/>
  <c r="X49" i="1" s="1"/>
  <c r="R49" i="1"/>
  <c r="G49" i="1" a="1"/>
  <c r="G49" i="1" s="1"/>
  <c r="F49" i="1"/>
  <c r="F49" i="1" a="1"/>
  <c r="R48" i="1"/>
  <c r="G48" i="1" a="1"/>
  <c r="G48" i="1" s="1"/>
  <c r="V48" i="1" s="1"/>
  <c r="F48" i="1"/>
  <c r="F48" i="1" a="1"/>
  <c r="V47" i="1"/>
  <c r="X47" i="1" s="1"/>
  <c r="R47" i="1"/>
  <c r="G47" i="1" a="1"/>
  <c r="G47" i="1" s="1"/>
  <c r="F47" i="1"/>
  <c r="F47" i="1" a="1"/>
  <c r="R46" i="1"/>
  <c r="G46" i="1" a="1"/>
  <c r="G46" i="1" s="1"/>
  <c r="V46" i="1" s="1"/>
  <c r="F46" i="1"/>
  <c r="F46" i="1" a="1"/>
  <c r="R45" i="1"/>
  <c r="G45" i="1" a="1"/>
  <c r="G45" i="1" s="1"/>
  <c r="F45" i="1" a="1"/>
  <c r="F45" i="1" s="1"/>
  <c r="V45" i="1" s="1"/>
  <c r="R44" i="1"/>
  <c r="G44" i="1" a="1"/>
  <c r="G44" i="1" s="1"/>
  <c r="F44" i="1" a="1"/>
  <c r="F44" i="1" s="1"/>
  <c r="V44" i="1" s="1"/>
  <c r="R43" i="1"/>
  <c r="G43" i="1" a="1"/>
  <c r="G43" i="1" s="1"/>
  <c r="F43" i="1" a="1"/>
  <c r="F43" i="1" s="1"/>
  <c r="V43" i="1" s="1"/>
  <c r="R42" i="1"/>
  <c r="G42" i="1" a="1"/>
  <c r="G42" i="1" s="1"/>
  <c r="F42" i="1" a="1"/>
  <c r="F42" i="1" s="1"/>
  <c r="V42" i="1" s="1"/>
  <c r="R41" i="1"/>
  <c r="G41" i="1" a="1"/>
  <c r="G41" i="1" s="1"/>
  <c r="F41" i="1" a="1"/>
  <c r="F41" i="1" s="1"/>
  <c r="V41" i="1" s="1"/>
  <c r="R40" i="1"/>
  <c r="G40" i="1" a="1"/>
  <c r="G40" i="1" s="1"/>
  <c r="F40" i="1" a="1"/>
  <c r="F40" i="1" s="1"/>
  <c r="V40" i="1" s="1"/>
  <c r="R39" i="1"/>
  <c r="G39" i="1" a="1"/>
  <c r="G39" i="1" s="1"/>
  <c r="F39" i="1" a="1"/>
  <c r="F39" i="1" s="1"/>
  <c r="V39" i="1" s="1"/>
  <c r="R38" i="1"/>
  <c r="G38" i="1" a="1"/>
  <c r="G38" i="1" s="1"/>
  <c r="F38" i="1" a="1"/>
  <c r="F38" i="1" s="1"/>
  <c r="V38" i="1" s="1"/>
  <c r="R37" i="1"/>
  <c r="G37" i="1" a="1"/>
  <c r="G37" i="1" s="1"/>
  <c r="F37" i="1" a="1"/>
  <c r="F37" i="1" s="1"/>
  <c r="V37" i="1" s="1"/>
  <c r="R36" i="1"/>
  <c r="G36" i="1" a="1"/>
  <c r="G36" i="1" s="1"/>
  <c r="F36" i="1" a="1"/>
  <c r="F36" i="1" s="1"/>
  <c r="V36" i="1" s="1"/>
  <c r="R35" i="1"/>
  <c r="G35" i="1" a="1"/>
  <c r="G35" i="1" s="1"/>
  <c r="F35" i="1" a="1"/>
  <c r="F35" i="1" s="1"/>
  <c r="V35" i="1" s="1"/>
  <c r="R34" i="1"/>
  <c r="G34" i="1" a="1"/>
  <c r="G34" i="1" s="1"/>
  <c r="F34" i="1" a="1"/>
  <c r="F34" i="1" s="1"/>
  <c r="V34" i="1" s="1"/>
  <c r="R33" i="1"/>
  <c r="G33" i="1" a="1"/>
  <c r="G33" i="1" s="1"/>
  <c r="F33" i="1" a="1"/>
  <c r="F33" i="1" s="1"/>
  <c r="V33" i="1" s="1"/>
  <c r="R32" i="1"/>
  <c r="G32" i="1" a="1"/>
  <c r="G32" i="1" s="1"/>
  <c r="F32" i="1" a="1"/>
  <c r="F32" i="1" s="1"/>
  <c r="V32" i="1" s="1"/>
  <c r="R31" i="1"/>
  <c r="G31" i="1" a="1"/>
  <c r="G31" i="1" s="1"/>
  <c r="F31" i="1" a="1"/>
  <c r="F31" i="1" s="1"/>
  <c r="V31" i="1" s="1"/>
  <c r="R30" i="1"/>
  <c r="G30" i="1" a="1"/>
  <c r="G30" i="1" s="1"/>
  <c r="F30" i="1" a="1"/>
  <c r="F30" i="1" s="1"/>
  <c r="V30" i="1" s="1"/>
  <c r="G29" i="1"/>
  <c r="G29" i="1" a="1"/>
  <c r="F29" i="1" a="1"/>
  <c r="F29" i="1" s="1"/>
  <c r="V29" i="1" s="1"/>
  <c r="R28" i="1"/>
  <c r="G28" i="1"/>
  <c r="G28" i="1" a="1"/>
  <c r="F28" i="1"/>
  <c r="V28" i="1" s="1"/>
  <c r="F28" i="1" a="1"/>
  <c r="R27" i="1"/>
  <c r="G27" i="1"/>
  <c r="G27" i="1" a="1"/>
  <c r="F27" i="1" a="1"/>
  <c r="F27" i="1" s="1"/>
  <c r="V27" i="1" s="1"/>
  <c r="R26" i="1"/>
  <c r="G26" i="1"/>
  <c r="G26" i="1" a="1"/>
  <c r="F26" i="1"/>
  <c r="V26" i="1" s="1"/>
  <c r="F26" i="1" a="1"/>
  <c r="R25" i="1"/>
  <c r="G25" i="1"/>
  <c r="G25" i="1" a="1"/>
  <c r="F25" i="1" a="1"/>
  <c r="F25" i="1" s="1"/>
  <c r="V25" i="1" s="1"/>
  <c r="R24" i="1"/>
  <c r="G24" i="1"/>
  <c r="G24" i="1" a="1"/>
  <c r="F24" i="1"/>
  <c r="V24" i="1" s="1"/>
  <c r="F24" i="1" a="1"/>
  <c r="R23" i="1"/>
  <c r="Q23" i="1"/>
  <c r="G23" i="1" a="1"/>
  <c r="G23" i="1" s="1"/>
  <c r="F23" i="1" a="1"/>
  <c r="F23" i="1" s="1"/>
  <c r="V23" i="1" s="1"/>
  <c r="R22" i="1"/>
  <c r="G22" i="1" a="1"/>
  <c r="G22" i="1" s="1"/>
  <c r="F22" i="1" a="1"/>
  <c r="F22" i="1" s="1"/>
  <c r="V22" i="1" s="1"/>
  <c r="R21" i="1"/>
  <c r="G21" i="1" a="1"/>
  <c r="G21" i="1" s="1"/>
  <c r="F21" i="1" a="1"/>
  <c r="F21" i="1" s="1"/>
  <c r="V21" i="1" s="1"/>
  <c r="R20" i="1"/>
  <c r="G20" i="1" a="1"/>
  <c r="G20" i="1" s="1"/>
  <c r="F20" i="1" a="1"/>
  <c r="F20" i="1" s="1"/>
  <c r="V20" i="1" s="1"/>
  <c r="R19" i="1"/>
  <c r="G19" i="1" a="1"/>
  <c r="G19" i="1" s="1"/>
  <c r="F19" i="1" a="1"/>
  <c r="F19" i="1" s="1"/>
  <c r="V19" i="1" s="1"/>
  <c r="R18" i="1"/>
  <c r="G18" i="1" a="1"/>
  <c r="G18" i="1" s="1"/>
  <c r="F18" i="1" a="1"/>
  <c r="F18" i="1" s="1"/>
  <c r="V18" i="1" s="1"/>
  <c r="R17" i="1"/>
  <c r="G17" i="1" a="1"/>
  <c r="G17" i="1" s="1"/>
  <c r="F17" i="1" a="1"/>
  <c r="F17" i="1" s="1"/>
  <c r="V17" i="1" s="1"/>
  <c r="R16" i="1"/>
  <c r="G16" i="1" a="1"/>
  <c r="G16" i="1" s="1"/>
  <c r="F16" i="1" a="1"/>
  <c r="F16" i="1" s="1"/>
  <c r="V16" i="1" s="1"/>
  <c r="R15" i="1"/>
  <c r="G15" i="1" a="1"/>
  <c r="G15" i="1" s="1"/>
  <c r="F15" i="1" a="1"/>
  <c r="F15" i="1" s="1"/>
  <c r="V15" i="1" s="1"/>
  <c r="R14" i="1"/>
  <c r="G14" i="1" a="1"/>
  <c r="G14" i="1" s="1"/>
  <c r="F14" i="1" a="1"/>
  <c r="F14" i="1" s="1"/>
  <c r="V14" i="1" s="1"/>
  <c r="R13" i="1"/>
  <c r="G13" i="1" a="1"/>
  <c r="G13" i="1" s="1"/>
  <c r="F13" i="1" a="1"/>
  <c r="F13" i="1" s="1"/>
  <c r="V13" i="1" s="1"/>
  <c r="R12" i="1"/>
  <c r="G12" i="1" a="1"/>
  <c r="G12" i="1" s="1"/>
  <c r="F12" i="1" a="1"/>
  <c r="F12" i="1" s="1"/>
  <c r="V12" i="1" s="1"/>
  <c r="X21" i="1" l="1"/>
  <c r="W21" i="1"/>
  <c r="W27" i="1"/>
  <c r="X27" i="1"/>
  <c r="X12" i="1"/>
  <c r="W12" i="1"/>
  <c r="X16" i="1"/>
  <c r="W16" i="1"/>
  <c r="X20" i="1"/>
  <c r="W20" i="1"/>
  <c r="W28" i="1"/>
  <c r="X28" i="1"/>
  <c r="X29" i="1"/>
  <c r="W29" i="1"/>
  <c r="X33" i="1"/>
  <c r="W33" i="1"/>
  <c r="X37" i="1"/>
  <c r="W37" i="1"/>
  <c r="X41" i="1"/>
  <c r="W41" i="1"/>
  <c r="X45" i="1"/>
  <c r="W45" i="1"/>
  <c r="X17" i="1"/>
  <c r="W17" i="1"/>
  <c r="W26" i="1"/>
  <c r="X26" i="1"/>
  <c r="X34" i="1"/>
  <c r="W34" i="1"/>
  <c r="X42" i="1"/>
  <c r="W42" i="1"/>
  <c r="X15" i="1"/>
  <c r="W15" i="1"/>
  <c r="X19" i="1"/>
  <c r="W19" i="1"/>
  <c r="W23" i="1"/>
  <c r="X23" i="1"/>
  <c r="X32" i="1"/>
  <c r="W32" i="1"/>
  <c r="X36" i="1"/>
  <c r="W36" i="1"/>
  <c r="X40" i="1"/>
  <c r="W40" i="1"/>
  <c r="X44" i="1"/>
  <c r="W44" i="1"/>
  <c r="X46" i="1"/>
  <c r="W46" i="1"/>
  <c r="X13" i="1"/>
  <c r="W13" i="1"/>
  <c r="X30" i="1"/>
  <c r="W30" i="1"/>
  <c r="X38" i="1"/>
  <c r="W38" i="1"/>
  <c r="X14" i="1"/>
  <c r="W14" i="1"/>
  <c r="X18" i="1"/>
  <c r="W18" i="1"/>
  <c r="X22" i="1"/>
  <c r="W22" i="1"/>
  <c r="W24" i="1"/>
  <c r="X24" i="1"/>
  <c r="W25" i="1"/>
  <c r="X25" i="1"/>
  <c r="X31" i="1"/>
  <c r="W31" i="1"/>
  <c r="X35" i="1"/>
  <c r="W35" i="1"/>
  <c r="X39" i="1"/>
  <c r="W39" i="1"/>
  <c r="X43" i="1"/>
  <c r="W43" i="1"/>
  <c r="X48" i="1"/>
  <c r="W48" i="1"/>
  <c r="W55" i="1"/>
  <c r="V53" i="1"/>
  <c r="V58" i="1"/>
  <c r="V62" i="1"/>
  <c r="W51" i="1"/>
  <c r="V50" i="1"/>
  <c r="V52" i="1"/>
  <c r="V56" i="1"/>
  <c r="V59" i="1"/>
  <c r="W60" i="1"/>
  <c r="V63" i="1"/>
  <c r="W47" i="1"/>
  <c r="W49" i="1"/>
  <c r="V54" i="1"/>
  <c r="V57" i="1"/>
  <c r="V61" i="1"/>
  <c r="X56" i="1" l="1"/>
  <c r="W56" i="1"/>
  <c r="X62" i="1"/>
  <c r="W62" i="1"/>
  <c r="X57" i="1"/>
  <c r="W57" i="1"/>
  <c r="X63" i="1"/>
  <c r="W63" i="1"/>
  <c r="W52" i="1"/>
  <c r="X52" i="1"/>
  <c r="X58" i="1"/>
  <c r="W58" i="1"/>
  <c r="X61" i="1"/>
  <c r="W61" i="1"/>
  <c r="W54" i="1"/>
  <c r="X54" i="1"/>
  <c r="W50" i="1"/>
  <c r="X50" i="1"/>
  <c r="X53" i="1"/>
  <c r="W53" i="1"/>
  <c r="X59" i="1"/>
  <c r="W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<sst xmlns="http://schemas.openxmlformats.org/spreadsheetml/2006/main" count="503" uniqueCount="434">
  <si>
    <t>Semester Berjalan</t>
  </si>
  <si>
    <t>Genap</t>
  </si>
  <si>
    <t>Tahun Ajaran</t>
  </si>
  <si>
    <t>2025/2026</t>
  </si>
  <si>
    <t>Peminatan</t>
  </si>
  <si>
    <t>Teknik Informatika</t>
  </si>
  <si>
    <t>Waktu Kuliah</t>
  </si>
  <si>
    <t>Sore</t>
  </si>
  <si>
    <t>Stambuk</t>
  </si>
  <si>
    <t>Kelas</t>
  </si>
  <si>
    <t>C</t>
  </si>
  <si>
    <t>Mata Kuliah</t>
  </si>
  <si>
    <t>Rekayasa Perangkat Lunak</t>
  </si>
  <si>
    <t>Waktu Export</t>
  </si>
  <si>
    <t>2026-03-19 06:31:42</t>
  </si>
  <si>
    <t>59m 37s</t>
  </si>
  <si>
    <t>1h 20m 41s</t>
  </si>
  <si>
    <t>1h 23m 51s</t>
  </si>
  <si>
    <t>1h 35m 52s</t>
  </si>
  <si>
    <t>1h 30m 23s</t>
  </si>
  <si>
    <t>1h 25m 17s</t>
  </si>
  <si>
    <t>No</t>
  </si>
  <si>
    <t>NIM</t>
  </si>
  <si>
    <t>Nama</t>
  </si>
  <si>
    <t>Nomor Handphone</t>
  </si>
  <si>
    <t>E-Mail</t>
  </si>
  <si>
    <t>TUGAS</t>
  </si>
  <si>
    <t>UTS</t>
  </si>
  <si>
    <t>M03</t>
  </si>
  <si>
    <t>M05</t>
  </si>
  <si>
    <t>M07</t>
  </si>
  <si>
    <t>M11</t>
  </si>
  <si>
    <t>M14</t>
  </si>
  <si>
    <t>M15</t>
  </si>
  <si>
    <t>Absensi</t>
  </si>
  <si>
    <t>Bintang</t>
  </si>
  <si>
    <t>Diskusi Mteam</t>
  </si>
  <si>
    <t>%</t>
  </si>
  <si>
    <t>Formatif</t>
  </si>
  <si>
    <t>Tugas-2</t>
  </si>
  <si>
    <t>UAS</t>
  </si>
  <si>
    <t>Nilai Angka</t>
  </si>
  <si>
    <t>Nilai Aktual</t>
  </si>
  <si>
    <t>Nilai Huruf</t>
  </si>
  <si>
    <t>Hans Valerie</t>
  </si>
  <si>
    <t>082272282201</t>
  </si>
  <si>
    <t>hans.valerie@students.mikroskil.ac.id</t>
  </si>
  <si>
    <t>1h 22m 51s</t>
  </si>
  <si>
    <t>1h 31m 52s</t>
  </si>
  <si>
    <t>1h 28m 7s</t>
  </si>
  <si>
    <t>1h 23m 22s</t>
  </si>
  <si>
    <t>Nicholian Tjuarsa</t>
  </si>
  <si>
    <t>085212646688</t>
  </si>
  <si>
    <t>nicholian.tjuarsa@students.mikroskil.ac.id</t>
  </si>
  <si>
    <t>35m 56s</t>
  </si>
  <si>
    <t>1h 17m 16s</t>
  </si>
  <si>
    <t>1h 20m 18s</t>
  </si>
  <si>
    <t>1h 24m 29s</t>
  </si>
  <si>
    <t>1h 20m 9s</t>
  </si>
  <si>
    <t>Vincent Lawi</t>
  </si>
  <si>
    <t>083169042237</t>
  </si>
  <si>
    <t>vincent.lawi@students.mikroskil.ac.id</t>
  </si>
  <si>
    <t>58m 41s</t>
  </si>
  <si>
    <t>1h 21m 18s</t>
  </si>
  <si>
    <t>1h 35m 5s</t>
  </si>
  <si>
    <t>1h 23m 39s</t>
  </si>
  <si>
    <t>1h 18m 48s</t>
  </si>
  <si>
    <t>Jessica Gunawan</t>
  </si>
  <si>
    <t>081266448530</t>
  </si>
  <si>
    <t>jessica.gunawan@students.mikroskil.ac.id</t>
  </si>
  <si>
    <t>59m 33s</t>
  </si>
  <si>
    <t>1h 23m 41s</t>
  </si>
  <si>
    <t>1h 35m 14s</t>
  </si>
  <si>
    <t>1h 28m 2s</t>
  </si>
  <si>
    <t>1h 24m 17s</t>
  </si>
  <si>
    <t>Richie Sanjiro</t>
  </si>
  <si>
    <t>081333655290</t>
  </si>
  <si>
    <t>richie.sanjiro@students.mikroskil.ac.id</t>
  </si>
  <si>
    <t>59m 49s</t>
  </si>
  <si>
    <t>1h 31m 34s</t>
  </si>
  <si>
    <t>1h 22m 22s</t>
  </si>
  <si>
    <t>1h 23m 17s</t>
  </si>
  <si>
    <t>Jensen</t>
  </si>
  <si>
    <t>081269937701</t>
  </si>
  <si>
    <t>jensen@students.mikroskil.ac.id</t>
  </si>
  <si>
    <t>55m 48s</t>
  </si>
  <si>
    <t>1h 20m 22s</t>
  </si>
  <si>
    <t>1h 34m 3s</t>
  </si>
  <si>
    <t>1h 25m 26s</t>
  </si>
  <si>
    <t>1h 24m 33s</t>
  </si>
  <si>
    <t>Zakky Pratama</t>
  </si>
  <si>
    <t>+6281396596137</t>
  </si>
  <si>
    <t>zakky.pratama@students.mikroskil.ac.id</t>
  </si>
  <si>
    <t>12m 59s</t>
  </si>
  <si>
    <t>1h 20m 10s</t>
  </si>
  <si>
    <t>1h 35m 39s</t>
  </si>
  <si>
    <t>1h 26m 6s</t>
  </si>
  <si>
    <t>1h 22m 1s</t>
  </si>
  <si>
    <t>Hermes Agistrian Laoli</t>
  </si>
  <si>
    <t>0895611340514</t>
  </si>
  <si>
    <t>hermes.agistrian@students.mikroskil.ac.id</t>
  </si>
  <si>
    <t>37m 7s</t>
  </si>
  <si>
    <t>58m 30s</t>
  </si>
  <si>
    <t>1h 28m 33s</t>
  </si>
  <si>
    <t>11m 23s</t>
  </si>
  <si>
    <t>1h 24m 21s</t>
  </si>
  <si>
    <t>Felix Chowandra</t>
  </si>
  <si>
    <t>089519200353</t>
  </si>
  <si>
    <t>felix.chowandra@students.mikroskil.ac.id</t>
  </si>
  <si>
    <t>36m 59s</t>
  </si>
  <si>
    <t>1h 12m 11s</t>
  </si>
  <si>
    <t>1h 33m 11s</t>
  </si>
  <si>
    <t>1h 25m 4s</t>
  </si>
  <si>
    <t>1h 16m 23s</t>
  </si>
  <si>
    <t>Filbert Matthew</t>
  </si>
  <si>
    <t>081274183515</t>
  </si>
  <si>
    <t>filbert.matthew@students.mikroskil.ac.id</t>
  </si>
  <si>
    <t>50m 46s</t>
  </si>
  <si>
    <t>1h 22m 25s</t>
  </si>
  <si>
    <t>1h 34m 7s</t>
  </si>
  <si>
    <t>1h 25m 59s</t>
  </si>
  <si>
    <t>1h 24m 31s</t>
  </si>
  <si>
    <t>Vincent Halim</t>
  </si>
  <si>
    <t>088807882489</t>
  </si>
  <si>
    <t>vincent.halim@students.mikroskil.ac.id</t>
  </si>
  <si>
    <t>50m 25s</t>
  </si>
  <si>
    <t>1h 21m 54s</t>
  </si>
  <si>
    <t>1h 26m 58s</t>
  </si>
  <si>
    <t>1h 25m 25s</t>
  </si>
  <si>
    <t>1h 23m 14s</t>
  </si>
  <si>
    <t>Jhonson Hartawan Halim</t>
  </si>
  <si>
    <t>085370578899</t>
  </si>
  <si>
    <t>jhonson.hartawan@students.mikroskil.ac.id</t>
  </si>
  <si>
    <t>50m 18s</t>
  </si>
  <si>
    <t>35m 25s</t>
  </si>
  <si>
    <t>1h 28m 27s</t>
  </si>
  <si>
    <t>1h 21m 2s</t>
  </si>
  <si>
    <t>1h 9m 22s</t>
  </si>
  <si>
    <t>Cherish Evangeline</t>
  </si>
  <si>
    <t>085359431662</t>
  </si>
  <si>
    <t>cherish.evangeline@students.mikroskil.ac.id</t>
  </si>
  <si>
    <t>58m 26s</t>
  </si>
  <si>
    <t>1h 17m 47s</t>
  </si>
  <si>
    <t>1h 27m 52s</t>
  </si>
  <si>
    <t>1h 12m 40s</t>
  </si>
  <si>
    <t>1h 24m 30s</t>
  </si>
  <si>
    <t>Wellson</t>
  </si>
  <si>
    <t>083197779191</t>
  </si>
  <si>
    <t>wellson@students.mikroskil.ac.id</t>
  </si>
  <si>
    <t>57m 4s</t>
  </si>
  <si>
    <t>1h 21m 32s</t>
  </si>
  <si>
    <t>1h 32m 27s</t>
  </si>
  <si>
    <t>1h 16m 45s</t>
  </si>
  <si>
    <t>55m 12s</t>
  </si>
  <si>
    <t>Fredericko</t>
  </si>
  <si>
    <t>08116558588</t>
  </si>
  <si>
    <t>fredericko@students.mikroskil.ac.id</t>
  </si>
  <si>
    <t>59m 42s</t>
  </si>
  <si>
    <t>1h 13m 35s</t>
  </si>
  <si>
    <t>1h 34m 10s</t>
  </si>
  <si>
    <t>1h 23m 1s</t>
  </si>
  <si>
    <t>1h 23m 58s</t>
  </si>
  <si>
    <t>Ricardo Dendrik</t>
  </si>
  <si>
    <t>081537519727</t>
  </si>
  <si>
    <t>ricardo.dendrik@students.mikroskil.ac.id</t>
  </si>
  <si>
    <t>30m 49s</t>
  </si>
  <si>
    <t>1h 18m 7s</t>
  </si>
  <si>
    <t>1h 30m 18s</t>
  </si>
  <si>
    <t>1h 27m 56s</t>
  </si>
  <si>
    <t>1h 21m 37s</t>
  </si>
  <si>
    <t>Angelica Anastasia Manurung</t>
  </si>
  <si>
    <t>088262392155</t>
  </si>
  <si>
    <t>angelica.anastasia@students.mikroskil.ac.id</t>
  </si>
  <si>
    <t>47m 53s</t>
  </si>
  <si>
    <t>1h 22m 15s</t>
  </si>
  <si>
    <t>1h 20m 13s</t>
  </si>
  <si>
    <t>1h 13m 1s</t>
  </si>
  <si>
    <t>1h 23m 27s</t>
  </si>
  <si>
    <t>Vincent</t>
  </si>
  <si>
    <t>081376777035</t>
  </si>
  <si>
    <t>vincent2@students.mikroskil.ac.id</t>
  </si>
  <si>
    <t>56m 41s</t>
  </si>
  <si>
    <t>1h 12m 17s</t>
  </si>
  <si>
    <t>1h 35m 4s</t>
  </si>
  <si>
    <t>1h 20m 6s</t>
  </si>
  <si>
    <t>1h 22m 59s</t>
  </si>
  <si>
    <t>Edbert Chandra</t>
  </si>
  <si>
    <t>082213999844</t>
  </si>
  <si>
    <t>edbert.chandra@students.mikroskil.ac.id</t>
  </si>
  <si>
    <t>58m 46s</t>
  </si>
  <si>
    <t>1h 22m 35s</t>
  </si>
  <si>
    <t>1h 32m 48s</t>
  </si>
  <si>
    <t>1h 27m 9s</t>
  </si>
  <si>
    <t>1h 24m 54s</t>
  </si>
  <si>
    <t>Elbert</t>
  </si>
  <si>
    <t>082284565385</t>
  </si>
  <si>
    <t>elbert@students.mikroskil.ac.id</t>
  </si>
  <si>
    <t>48m 30s</t>
  </si>
  <si>
    <t>1h 34m 5s</t>
  </si>
  <si>
    <t>1h 20m 52s</t>
  </si>
  <si>
    <t>1h 23m 30s</t>
  </si>
  <si>
    <t>Justin Wisely</t>
  </si>
  <si>
    <t>085100296599</t>
  </si>
  <si>
    <t>justin.wisely@students.mikroskil.ac.id</t>
  </si>
  <si>
    <t>1h 23m 29s</t>
  </si>
  <si>
    <t>1h 28m 52s</t>
  </si>
  <si>
    <t>1h 16m 5s</t>
  </si>
  <si>
    <t>David Tandersen</t>
  </si>
  <si>
    <t>081266919101</t>
  </si>
  <si>
    <t>david.tandersen@students.mikroskil.ac.id</t>
  </si>
  <si>
    <t>54m 41s</t>
  </si>
  <si>
    <t>1h 21m 58s</t>
  </si>
  <si>
    <t>1h 35m 27s</t>
  </si>
  <si>
    <t>1h 24m 37s</t>
  </si>
  <si>
    <t>1h 24m 40s</t>
  </si>
  <si>
    <t>Ethan Wilbert</t>
  </si>
  <si>
    <t>081269751768</t>
  </si>
  <si>
    <t>ethan.wilbert@students.mikroskil.ac.id</t>
  </si>
  <si>
    <t>55m 40s</t>
  </si>
  <si>
    <t>1h 22m 13s</t>
  </si>
  <si>
    <t>1h 35m 25s</t>
  </si>
  <si>
    <t>1h 17m 24s</t>
  </si>
  <si>
    <t>Kindy Lim</t>
  </si>
  <si>
    <t>085358688859</t>
  </si>
  <si>
    <t>kindy.lim@students.mikroskil.ac.id</t>
  </si>
  <si>
    <t>57m 38s</t>
  </si>
  <si>
    <t>1h 23m 7s</t>
  </si>
  <si>
    <t>1h 33m 47s</t>
  </si>
  <si>
    <t>1h 26m 10s</t>
  </si>
  <si>
    <t>1h 23m 25s</t>
  </si>
  <si>
    <t>Sastrawan</t>
  </si>
  <si>
    <t>085270964956</t>
  </si>
  <si>
    <t>sastrawan@students.mikroskil.ac.id</t>
  </si>
  <si>
    <t>49m 15s</t>
  </si>
  <si>
    <t>1h 30m 48s</t>
  </si>
  <si>
    <t>50m 54s</t>
  </si>
  <si>
    <t>Louis Fortino</t>
  </si>
  <si>
    <t>088260095176</t>
  </si>
  <si>
    <t>louis.fortino@students.mikroskil.ac.id</t>
  </si>
  <si>
    <t>52m 28s</t>
  </si>
  <si>
    <t>1h 16m 12s</t>
  </si>
  <si>
    <t>1h 35m 42s</t>
  </si>
  <si>
    <t>1h 22m 4s</t>
  </si>
  <si>
    <t>1h 22m 44s</t>
  </si>
  <si>
    <t>Devin Owen Sanusi</t>
  </si>
  <si>
    <t>085924292951</t>
  </si>
  <si>
    <t>devin.owen@students.mikroskil.ac.id</t>
  </si>
  <si>
    <t>1h 15m 12s</t>
  </si>
  <si>
    <t>1h 26m 26s</t>
  </si>
  <si>
    <t>1h 27m 19s</t>
  </si>
  <si>
    <t>1h 18m 45s</t>
  </si>
  <si>
    <t>Kevin Halim</t>
  </si>
  <si>
    <t>082360968996</t>
  </si>
  <si>
    <t>kevin.halim@students.mikroskil.ac.id</t>
  </si>
  <si>
    <t>41m 22s</t>
  </si>
  <si>
    <t>1h 23m 20s</t>
  </si>
  <si>
    <t>1h 25m 19s</t>
  </si>
  <si>
    <t>1h 25m 54s</t>
  </si>
  <si>
    <t>Louise Emilio Jonathan</t>
  </si>
  <si>
    <t>082399339886</t>
  </si>
  <si>
    <t>louise.emilio@students.mikroskil.ac.id</t>
  </si>
  <si>
    <t>51m 2s</t>
  </si>
  <si>
    <t>1h 19m 12s</t>
  </si>
  <si>
    <t>1h 35m 1s</t>
  </si>
  <si>
    <t>1h 21m 13s</t>
  </si>
  <si>
    <t>1h 19m 59s</t>
  </si>
  <si>
    <t>Wesley</t>
  </si>
  <si>
    <t>085358667990</t>
  </si>
  <si>
    <t>wesley@students.mikroskil.ac.id</t>
  </si>
  <si>
    <t>57m 52s</t>
  </si>
  <si>
    <t>1h 21m 49s</t>
  </si>
  <si>
    <t>1h 35m 15s</t>
  </si>
  <si>
    <t>1h 27m 10s</t>
  </si>
  <si>
    <t>1h 23m 16s</t>
  </si>
  <si>
    <t>Jevincho</t>
  </si>
  <si>
    <t>082180255995</t>
  </si>
  <si>
    <t>jevincho@students.mikroskil.ac.id</t>
  </si>
  <si>
    <t>1h 16m 48s</t>
  </si>
  <si>
    <t>1h 35m 11s</t>
  </si>
  <si>
    <t>1h 27m 23s</t>
  </si>
  <si>
    <t>1h 23m 3s</t>
  </si>
  <si>
    <t>Farrel Bintang Safarringga</t>
  </si>
  <si>
    <t>082360017019</t>
  </si>
  <si>
    <t>farrel.bintang@students.mikroskil.ac.id</t>
  </si>
  <si>
    <t>47m 52s</t>
  </si>
  <si>
    <t>36m 17s</t>
  </si>
  <si>
    <t>39m 10s</t>
  </si>
  <si>
    <t>1h 4m 15s</t>
  </si>
  <si>
    <t>Wilson Rusli</t>
  </si>
  <si>
    <t>083838912327</t>
  </si>
  <si>
    <t>wilson.rusli@students.mikroskil.ac.id</t>
  </si>
  <si>
    <t>56m 46s</t>
  </si>
  <si>
    <t>1h 35m 13s</t>
  </si>
  <si>
    <t>1h 28m 20s</t>
  </si>
  <si>
    <t>1h 6m 54s</t>
  </si>
  <si>
    <t>Victor Valentino</t>
  </si>
  <si>
    <t>08116316681</t>
  </si>
  <si>
    <t>victor.valentino@students.mikroskil.ac.id</t>
  </si>
  <si>
    <t>59m 36s</t>
  </si>
  <si>
    <t>1h 21m 59s</t>
  </si>
  <si>
    <t>1h 34m 28s</t>
  </si>
  <si>
    <t>1h 22m 18s</t>
  </si>
  <si>
    <t>1h 16m 15s</t>
  </si>
  <si>
    <t>Saravanan</t>
  </si>
  <si>
    <t>081370072864</t>
  </si>
  <si>
    <t>saravanan@students.mikroskil.ac.id</t>
  </si>
  <si>
    <t>33m 34s</t>
  </si>
  <si>
    <t>1h 20m 21s</t>
  </si>
  <si>
    <t>1h 34m 29s</t>
  </si>
  <si>
    <t>1h 26m 23s</t>
  </si>
  <si>
    <t>45m 30s</t>
  </si>
  <si>
    <t>Gylbert Mars Antonius</t>
  </si>
  <si>
    <t>082244115494</t>
  </si>
  <si>
    <t>gylbert.mars@students.mikroskil.ac.id</t>
  </si>
  <si>
    <t>39m 32s</t>
  </si>
  <si>
    <t>48m 32s</t>
  </si>
  <si>
    <t>1h 30m 4s</t>
  </si>
  <si>
    <t>1h 25m 48s</t>
  </si>
  <si>
    <t>1h 18m 53s</t>
  </si>
  <si>
    <t>Selly Safira Putri</t>
  </si>
  <si>
    <t>082170854388</t>
  </si>
  <si>
    <t>selly.safira@students.mikroskil.ac.id</t>
  </si>
  <si>
    <t>59m 4s</t>
  </si>
  <si>
    <t>1h 22m 31s</t>
  </si>
  <si>
    <t>1h 35m 21s</t>
  </si>
  <si>
    <t>1h 27m 58s</t>
  </si>
  <si>
    <t>Grace Christiani</t>
  </si>
  <si>
    <t>087878171014</t>
  </si>
  <si>
    <t>grace.christiani@students.mikroskil.ac.id</t>
  </si>
  <si>
    <t>54m 50s</t>
  </si>
  <si>
    <t>52m 13s</t>
  </si>
  <si>
    <t>1h 23m 59s</t>
  </si>
  <si>
    <t>1h 27m 18s</t>
  </si>
  <si>
    <t>1h 17m 39s</t>
  </si>
  <si>
    <t>Ryu Kierando</t>
  </si>
  <si>
    <t>08116057239</t>
  </si>
  <si>
    <t>ryu.kierando@students.mikroskil.ac.id</t>
  </si>
  <si>
    <t>33m 51s</t>
  </si>
  <si>
    <t>1h 17m 48s</t>
  </si>
  <si>
    <t>52m 41s</t>
  </si>
  <si>
    <t>Carita Angel Samudra Tjoatja</t>
  </si>
  <si>
    <t>082361845858</t>
  </si>
  <si>
    <t>carita.angel@students.mikroskil.ac.id</t>
  </si>
  <si>
    <t>57m 10s</t>
  </si>
  <si>
    <t>1h 35m 38s</t>
  </si>
  <si>
    <t>1h 28m 8s</t>
  </si>
  <si>
    <t>1h 24m 51s</t>
  </si>
  <si>
    <t>Kelvin Kurniawan</t>
  </si>
  <si>
    <t>089512809452</t>
  </si>
  <si>
    <t>kelvin.kurniawan@students.mikroskil.ac.id</t>
  </si>
  <si>
    <t>59m</t>
  </si>
  <si>
    <t>1h 35m 17s</t>
  </si>
  <si>
    <t>1h 15m 37s</t>
  </si>
  <si>
    <t>1h 24m 24s</t>
  </si>
  <si>
    <t>Anggara Adelee</t>
  </si>
  <si>
    <t>089653667157</t>
  </si>
  <si>
    <t>anggara.adelee@students.mikroskil.ac.id</t>
  </si>
  <si>
    <t>58m 49s</t>
  </si>
  <si>
    <t>1h 18m 59s</t>
  </si>
  <si>
    <t>1h 21m 15s</t>
  </si>
  <si>
    <t>Frendy Finalie</t>
  </si>
  <si>
    <t>08116233186</t>
  </si>
  <si>
    <t>frendy.finalie@students.mikroskil.ac.id</t>
  </si>
  <si>
    <t>59m 23s</t>
  </si>
  <si>
    <t>1h 23m 13s</t>
  </si>
  <si>
    <t>1h 32m 24s</t>
  </si>
  <si>
    <t>1h 25m 52s</t>
  </si>
  <si>
    <t>1h 22m 46s</t>
  </si>
  <si>
    <t>Hendy</t>
  </si>
  <si>
    <t>081361163184</t>
  </si>
  <si>
    <t>hendy@students.mikroskil.ac.id</t>
  </si>
  <si>
    <t>59m 35s</t>
  </si>
  <si>
    <t>1h 22m 12s</t>
  </si>
  <si>
    <t>1h 22m 24s</t>
  </si>
  <si>
    <t>Nachelle Ferari</t>
  </si>
  <si>
    <t>085261102114</t>
  </si>
  <si>
    <t>nachelle.ferari@students.mikroskil.ac.id</t>
  </si>
  <si>
    <t>conf with note</t>
  </si>
  <si>
    <t>48m 41s</t>
  </si>
  <si>
    <t>1h 20m 7s</t>
  </si>
  <si>
    <t>1h 5m 3s</t>
  </si>
  <si>
    <t>1h 8m 23s</t>
  </si>
  <si>
    <t>Alvin Armando</t>
  </si>
  <si>
    <t>089652151907</t>
  </si>
  <si>
    <t>alvin.armando@students.mikroskil.ac.id</t>
  </si>
  <si>
    <t>42m 39s</t>
  </si>
  <si>
    <t>1h 18m 28s</t>
  </si>
  <si>
    <t>1h 26m 19s</t>
  </si>
  <si>
    <t>1h 25m 21s</t>
  </si>
  <si>
    <t>1h 16m 41s</t>
  </si>
  <si>
    <t>Therania</t>
  </si>
  <si>
    <t>082362027218</t>
  </si>
  <si>
    <t>therania@students.mikroskil.ac.id</t>
  </si>
  <si>
    <t>59m 32s</t>
  </si>
  <si>
    <t>1h 23m 44s</t>
  </si>
  <si>
    <t>1h 35m 36s</t>
  </si>
  <si>
    <t>1h 24m 50s</t>
  </si>
  <si>
    <t>Steven Lienardi</t>
  </si>
  <si>
    <t>082274000707</t>
  </si>
  <si>
    <t>steven.lienardi@students.mikroskil.ac.id</t>
  </si>
  <si>
    <t>46m 21s</t>
  </si>
  <si>
    <t>1h 21m 16s</t>
  </si>
  <si>
    <t>1h 30m 6s</t>
  </si>
  <si>
    <t>1h 13m 23s</t>
  </si>
  <si>
    <t>55m 5s</t>
  </si>
  <si>
    <t>Calvin Prayogo</t>
  </si>
  <si>
    <t>081397204069</t>
  </si>
  <si>
    <t>calvin.prayogo@students.mikroskil.ac.id</t>
  </si>
  <si>
    <t>48m 39s</t>
  </si>
  <si>
    <t>53m 50s</t>
  </si>
  <si>
    <t>Victoria Lusiana Manullang</t>
  </si>
  <si>
    <t>082163517489</t>
  </si>
  <si>
    <t>victoria.lusiana@students.mikroskil.ac.id</t>
  </si>
  <si>
    <t>54m 36s</t>
  </si>
  <si>
    <t>1h 21m 9s</t>
  </si>
  <si>
    <t>1h 19m 47s</t>
  </si>
  <si>
    <t>1h 17m 49s</t>
  </si>
  <si>
    <t>1h 9m 47s</t>
  </si>
  <si>
    <t>Michael</t>
  </si>
  <si>
    <t>089604449407</t>
  </si>
  <si>
    <t>michael3@students.mikroskil.ac.id</t>
  </si>
  <si>
    <t>59m 26s</t>
  </si>
  <si>
    <t>1h 18m 10s</t>
  </si>
  <si>
    <t>1h 35m 34s</t>
  </si>
  <si>
    <t>1h 27m 39s</t>
  </si>
  <si>
    <t>1h 24m 22s</t>
  </si>
  <si>
    <t>Rega Rivalga Wijaya</t>
  </si>
  <si>
    <t>082216980976</t>
  </si>
  <si>
    <t>rega.rivalga@students.mikroskil.ac.id</t>
  </si>
  <si>
    <t>29m 29s</t>
  </si>
  <si>
    <t>1h 16m 7s</t>
  </si>
  <si>
    <t>1h 34m 43s</t>
  </si>
  <si>
    <t>1h 18m 20s</t>
  </si>
  <si>
    <t>1h 24m 26s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</si>
</sst>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Fill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ill="1" applyProtection="1"/>
    <xf numFmtId="0" fontId="0" fillId="2" borderId="0" xfId="0" applyFill="1" applyProtection="1"/>
    <xf numFmtId="9" fontId="0" fillId="0" borderId="0" xfId="1" applyFont="1" applyFill="1" applyProtection="1"/>
    <xf numFmtId="0" fontId="0" fillId="0" borderId="0" xfId="0" applyFill="1" applyAlignment="1" applyProtection="1">
      <alignment horizontal="left"/>
    </xf>
    <xf numFmtId="9" fontId="2" fillId="0" borderId="0" xfId="0" applyNumberFormat="1" applyFont="1" applyAlignment="1" applyProtection="1">
      <alignment horizontal="left"/>
      <protection locked="0"/>
    </xf>
    <xf numFmtId="0" fontId="0" fillId="0" borderId="1" xfId="0" applyFill="1" applyBorder="1" applyProtection="1"/>
    <xf numFmtId="0" fontId="0" fillId="0" borderId="2" xfId="0" applyFill="1" applyBorder="1" applyProtection="1"/>
    <xf numFmtId="0" fontId="1" fillId="0" borderId="2" xfId="0" applyFont="1" applyFill="1" applyBorder="1" applyProtection="1"/>
    <xf numFmtId="0" fontId="0" fillId="0" borderId="2" xfId="0" applyBorder="1"/>
    <xf numFmtId="9" fontId="0" fillId="0" borderId="2" xfId="1" applyFont="1" applyFill="1" applyBorder="1" applyProtection="1"/>
    <xf numFmtId="0" fontId="0" fillId="0" borderId="3" xfId="0" applyFill="1" applyBorder="1" applyProtection="1"/>
    <xf numFmtId="9" fontId="2" fillId="0" borderId="0" xfId="0" applyNumberFormat="1" applyFont="1" applyFill="1" applyAlignment="1" applyProtection="1">
      <alignment horizontal="left"/>
    </xf>
    <xf numFmtId="9" fontId="2" fillId="0" borderId="0" xfId="0" applyNumberFormat="1" applyFont="1" applyFill="1" applyProtection="1"/>
    <xf numFmtId="0" fontId="1" fillId="0" borderId="0" xfId="0" applyFont="1" applyFill="1" applyProtection="1"/>
    <xf numFmtId="0" fontId="3" fillId="2" borderId="0" xfId="0" applyFont="1" applyFill="1" applyProtection="1">
      <protection locked="0"/>
    </xf>
    <xf numFmtId="0" fontId="1" fillId="0" borderId="4" xfId="0" applyFont="1" applyFill="1" applyBorder="1" applyProtection="1"/>
    <xf numFmtId="9" fontId="1" fillId="0" borderId="0" xfId="1" applyFont="1" applyFill="1" applyBorder="1" applyProtection="1"/>
    <xf numFmtId="0" fontId="1" fillId="0" borderId="5" xfId="0" applyFont="1" applyFill="1" applyBorder="1" applyProtection="1"/>
    <xf numFmtId="0" fontId="1" fillId="0" borderId="0" xfId="0" applyFont="1" applyFill="1" applyAlignment="1" applyProtection="1">
      <alignment horizontal="left"/>
    </xf>
    <xf numFmtId="0" fontId="0" fillId="0" borderId="4" xfId="0" applyFill="1" applyBorder="1" applyProtection="1"/>
    <xf numFmtId="9" fontId="0" fillId="0" borderId="0" xfId="1" applyFont="1" applyFill="1" applyBorder="1" applyProtection="1"/>
    <xf numFmtId="0" fontId="0" fillId="3" borderId="5" xfId="0" applyFill="1" applyBorder="1" applyProtection="1"/>
    <xf numFmtId="9" fontId="0" fillId="0" borderId="0" xfId="1" applyFont="1" applyFill="1" applyAlignment="1" applyProtection="1">
      <alignment horizontal="left"/>
    </xf>
    <xf numFmtId="0" fontId="4" fillId="0" borderId="5" xfId="0" applyFont="1" applyBorder="1" applyProtection="1">
      <protection locked="0"/>
    </xf>
    <xf numFmtId="0" fontId="5" fillId="4" borderId="4" xfId="0" applyFont="1" applyFill="1" applyBorder="1" applyProtection="1"/>
    <xf numFmtId="0" fontId="0" fillId="0" borderId="5" xfId="0" applyFill="1" applyBorder="1" applyProtection="1"/>
    <xf numFmtId="0" fontId="0" fillId="0" borderId="0" xfId="0" applyProtection="1">
      <protection locked="0"/>
    </xf>
    <xf numFmtId="0" fontId="6" fillId="3" borderId="5" xfId="0" applyFont="1" applyFill="1" applyBorder="1" applyProtection="1"/>
    <xf numFmtId="0" fontId="0" fillId="4" borderId="0" xfId="0" applyFill="1" applyProtection="1"/>
    <xf numFmtId="0" fontId="0" fillId="5" borderId="0" xfId="0" applyFill="1" applyProtection="1"/>
    <xf numFmtId="9" fontId="0" fillId="4" borderId="0" xfId="1" applyFont="1" applyFill="1" applyBorder="1" applyProtection="1"/>
    <xf numFmtId="0" fontId="0" fillId="6" borderId="6" xfId="0" applyFill="1" applyBorder="1"/>
    <xf numFmtId="0" fontId="0" fillId="7" borderId="4" xfId="0" applyFill="1" applyBorder="1" applyProtection="1"/>
    <xf numFmtId="0" fontId="0" fillId="7" borderId="0" xfId="0" applyFill="1" applyProtection="1"/>
    <xf numFmtId="0" fontId="0" fillId="0" borderId="6" xfId="0" applyBorder="1"/>
    <xf numFmtId="0" fontId="0" fillId="8" borderId="0" xfId="0" applyFill="1" applyProtection="1"/>
    <xf numFmtId="0" fontId="5" fillId="4" borderId="7" xfId="0" applyFont="1" applyFill="1" applyBorder="1" applyProtection="1"/>
    <xf numFmtId="0" fontId="0" fillId="0" borderId="8" xfId="0" applyFill="1" applyBorder="1" applyProtection="1"/>
    <xf numFmtId="9" fontId="0" fillId="0" borderId="8" xfId="1" applyFont="1" applyFill="1" applyBorder="1" applyProtection="1"/>
    <xf numFmtId="0" fontId="0" fillId="0" borderId="9" xfId="0" applyFill="1" applyBorder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kroskilacid-my.sharepoint.com/personal/arisman_mikroskil_ac_id/Documents/#Lecture/Mikroskill/8. KULIAH GENAP 2026-2027 (RPL)/UAS/template_nilai_IF-C Sore.xlsx" TargetMode="External"/><Relationship Id="rId1" Type="http://schemas.openxmlformats.org/officeDocument/2006/relationships/externalLinkPath" Target="https://mikroskilacid-my.sharepoint.com/personal/arisman_mikroskil_ac_id/Documents/#Lecture/Mikroskill/8. KULIAH GENAP 2026-2027 (RPL)/UAS/template_nilai_IF-C Sor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kroskilacid-my.sharepoint.com/personal/arisman_mikroskil_ac_id/Documents/#Lecture/Mikroskill/8. KULIAH GENAP 2026-2027 (RPL)/UAS/PENILAIAN MTEAM IF-C/scrap diskusi m-team/IF_C_SM.xlsx" TargetMode="External"/><Relationship Id="rId1" Type="http://schemas.openxmlformats.org/officeDocument/2006/relationships/externalLinkPath" Target="https://mikroskilacid-my.sharepoint.com/personal/arisman_mikroskil_ac_id/Documents/#Lecture/Mikroskill/8. KULIAH GENAP 2026-2027 (RPL)/UAS/PENILAIAN MTEAM IF-C/scrap diskusi m-team/IF_C_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test calc nilai mentah"/>
    </sheetNames>
    <sheetDataSet>
      <sheetData sheetId="0"/>
      <sheetData sheetId="1">
        <row r="1">
          <cell r="B1" t="str">
            <v>NIM</v>
          </cell>
          <cell r="E1" t="str">
            <v>SUBCPMK-07-1-5</v>
          </cell>
          <cell r="F1" t="str">
            <v>SUBCPMK-07-1-6</v>
          </cell>
        </row>
        <row r="2">
          <cell r="E2" t="str">
            <v>TUGAS</v>
          </cell>
          <cell r="F2" t="str">
            <v>UTS</v>
          </cell>
        </row>
        <row r="4">
          <cell r="E4">
            <v>0.25</v>
          </cell>
          <cell r="F4">
            <v>0.25</v>
          </cell>
        </row>
        <row r="5">
          <cell r="B5">
            <v>241110035</v>
          </cell>
          <cell r="E5">
            <v>90</v>
          </cell>
          <cell r="F5">
            <v>92</v>
          </cell>
        </row>
        <row r="6">
          <cell r="B6">
            <v>241110066</v>
          </cell>
          <cell r="E6">
            <v>95</v>
          </cell>
          <cell r="F6">
            <v>94</v>
          </cell>
        </row>
        <row r="7">
          <cell r="B7">
            <v>241110102</v>
          </cell>
          <cell r="E7">
            <v>90</v>
          </cell>
          <cell r="F7">
            <v>92</v>
          </cell>
        </row>
        <row r="8">
          <cell r="B8">
            <v>241110182</v>
          </cell>
          <cell r="E8">
            <v>96</v>
          </cell>
          <cell r="F8">
            <v>95</v>
          </cell>
        </row>
        <row r="9">
          <cell r="B9">
            <v>241110236</v>
          </cell>
          <cell r="E9">
            <v>88</v>
          </cell>
          <cell r="F9">
            <v>80</v>
          </cell>
        </row>
        <row r="10">
          <cell r="B10">
            <v>241110332</v>
          </cell>
          <cell r="E10">
            <v>90</v>
          </cell>
          <cell r="F10">
            <v>92</v>
          </cell>
        </row>
        <row r="11">
          <cell r="B11">
            <v>241110371</v>
          </cell>
          <cell r="E11">
            <v>92</v>
          </cell>
          <cell r="F11">
            <v>85</v>
          </cell>
        </row>
        <row r="12">
          <cell r="B12">
            <v>241110402</v>
          </cell>
          <cell r="E12">
            <v>88</v>
          </cell>
          <cell r="F12">
            <v>80</v>
          </cell>
        </row>
        <row r="13">
          <cell r="B13">
            <v>241110430</v>
          </cell>
          <cell r="E13">
            <v>82</v>
          </cell>
          <cell r="F13">
            <v>92</v>
          </cell>
        </row>
        <row r="14">
          <cell r="B14">
            <v>241110460</v>
          </cell>
          <cell r="E14">
            <v>92</v>
          </cell>
          <cell r="F14">
            <v>85</v>
          </cell>
        </row>
        <row r="15">
          <cell r="B15">
            <v>241110494</v>
          </cell>
          <cell r="E15">
            <v>85</v>
          </cell>
          <cell r="F15">
            <v>82</v>
          </cell>
        </row>
        <row r="16">
          <cell r="B16">
            <v>241110567</v>
          </cell>
          <cell r="E16">
            <v>88</v>
          </cell>
          <cell r="F16">
            <v>80</v>
          </cell>
        </row>
        <row r="17">
          <cell r="B17">
            <v>241110597</v>
          </cell>
          <cell r="E17">
            <v>95</v>
          </cell>
          <cell r="F17">
            <v>88</v>
          </cell>
        </row>
        <row r="18">
          <cell r="B18">
            <v>241110609</v>
          </cell>
          <cell r="E18">
            <v>90</v>
          </cell>
          <cell r="F18">
            <v>92</v>
          </cell>
        </row>
        <row r="19">
          <cell r="B19">
            <v>241110625</v>
          </cell>
          <cell r="E19">
            <v>84</v>
          </cell>
          <cell r="F19">
            <v>80</v>
          </cell>
        </row>
        <row r="20">
          <cell r="B20">
            <v>241110684</v>
          </cell>
          <cell r="E20">
            <v>88</v>
          </cell>
          <cell r="F20">
            <v>80</v>
          </cell>
        </row>
        <row r="21">
          <cell r="B21">
            <v>241110764</v>
          </cell>
          <cell r="E21">
            <v>85</v>
          </cell>
          <cell r="F21">
            <v>82</v>
          </cell>
        </row>
        <row r="22">
          <cell r="B22">
            <v>241110791</v>
          </cell>
          <cell r="E22">
            <v>84</v>
          </cell>
          <cell r="F22">
            <v>85</v>
          </cell>
        </row>
        <row r="23">
          <cell r="B23">
            <v>241110810</v>
          </cell>
          <cell r="E23">
            <v>96</v>
          </cell>
          <cell r="F23">
            <v>95</v>
          </cell>
        </row>
        <row r="24">
          <cell r="B24">
            <v>241110826</v>
          </cell>
          <cell r="E24">
            <v>84</v>
          </cell>
          <cell r="F24">
            <v>85</v>
          </cell>
        </row>
        <row r="25">
          <cell r="B25">
            <v>241110868</v>
          </cell>
          <cell r="E25">
            <v>95</v>
          </cell>
          <cell r="F25">
            <v>88</v>
          </cell>
        </row>
        <row r="26">
          <cell r="B26">
            <v>241110908</v>
          </cell>
          <cell r="E26">
            <v>84</v>
          </cell>
          <cell r="F26">
            <v>90</v>
          </cell>
        </row>
        <row r="27">
          <cell r="B27">
            <v>241110939</v>
          </cell>
          <cell r="E27">
            <v>95</v>
          </cell>
          <cell r="F27">
            <v>94</v>
          </cell>
        </row>
        <row r="28">
          <cell r="B28">
            <v>241110982</v>
          </cell>
          <cell r="E28">
            <v>96</v>
          </cell>
          <cell r="F28">
            <v>95</v>
          </cell>
        </row>
        <row r="29">
          <cell r="B29">
            <v>241111021</v>
          </cell>
          <cell r="E29">
            <v>90</v>
          </cell>
          <cell r="F29">
            <v>80</v>
          </cell>
        </row>
        <row r="30">
          <cell r="B30">
            <v>241111056</v>
          </cell>
          <cell r="E30">
            <v>96</v>
          </cell>
          <cell r="F30">
            <v>95</v>
          </cell>
        </row>
        <row r="31">
          <cell r="B31">
            <v>241111093</v>
          </cell>
          <cell r="E31">
            <v>95</v>
          </cell>
          <cell r="F31">
            <v>94</v>
          </cell>
        </row>
        <row r="32">
          <cell r="B32">
            <v>241111123</v>
          </cell>
          <cell r="E32">
            <v>96</v>
          </cell>
          <cell r="F32">
            <v>90</v>
          </cell>
        </row>
        <row r="33">
          <cell r="B33">
            <v>241111178</v>
          </cell>
          <cell r="E33">
            <v>84</v>
          </cell>
          <cell r="F33">
            <v>85</v>
          </cell>
        </row>
        <row r="34">
          <cell r="B34">
            <v>241111300</v>
          </cell>
          <cell r="E34">
            <v>85</v>
          </cell>
          <cell r="F34">
            <v>82</v>
          </cell>
        </row>
        <row r="35">
          <cell r="B35">
            <v>241111355</v>
          </cell>
          <cell r="E35">
            <v>84</v>
          </cell>
          <cell r="F35">
            <v>85</v>
          </cell>
        </row>
        <row r="36">
          <cell r="B36">
            <v>241111446</v>
          </cell>
          <cell r="E36">
            <v>84</v>
          </cell>
          <cell r="F36">
            <v>90</v>
          </cell>
        </row>
        <row r="37">
          <cell r="B37">
            <v>241111583</v>
          </cell>
          <cell r="E37">
            <v>96</v>
          </cell>
          <cell r="F37">
            <v>90</v>
          </cell>
        </row>
        <row r="38">
          <cell r="B38">
            <v>241111649</v>
          </cell>
          <cell r="E38">
            <v>85</v>
          </cell>
          <cell r="F38">
            <v>82</v>
          </cell>
        </row>
        <row r="39">
          <cell r="B39">
            <v>241111704</v>
          </cell>
          <cell r="E39">
            <v>88</v>
          </cell>
          <cell r="F39">
            <v>80</v>
          </cell>
        </row>
        <row r="40">
          <cell r="B40">
            <v>241111802</v>
          </cell>
          <cell r="E40">
            <v>88</v>
          </cell>
          <cell r="F40">
            <v>80</v>
          </cell>
        </row>
        <row r="41">
          <cell r="B41">
            <v>241111842</v>
          </cell>
          <cell r="E41">
            <v>96</v>
          </cell>
          <cell r="F41">
            <v>90</v>
          </cell>
        </row>
        <row r="42">
          <cell r="B42">
            <v>241111967</v>
          </cell>
          <cell r="E42">
            <v>96</v>
          </cell>
          <cell r="F42">
            <v>90</v>
          </cell>
        </row>
        <row r="43">
          <cell r="B43">
            <v>241112002</v>
          </cell>
          <cell r="E43">
            <v>92</v>
          </cell>
          <cell r="F43">
            <v>85</v>
          </cell>
        </row>
        <row r="44">
          <cell r="B44">
            <v>241112087</v>
          </cell>
          <cell r="E44">
            <v>90</v>
          </cell>
          <cell r="F44">
            <v>80</v>
          </cell>
        </row>
        <row r="45">
          <cell r="B45">
            <v>241112232</v>
          </cell>
          <cell r="E45">
            <v>95</v>
          </cell>
          <cell r="F45">
            <v>88</v>
          </cell>
        </row>
        <row r="46">
          <cell r="B46">
            <v>241112271</v>
          </cell>
          <cell r="E46">
            <v>95</v>
          </cell>
          <cell r="F46">
            <v>94</v>
          </cell>
        </row>
        <row r="47">
          <cell r="B47">
            <v>241112358</v>
          </cell>
          <cell r="E47">
            <v>88</v>
          </cell>
          <cell r="F47">
            <v>80</v>
          </cell>
        </row>
        <row r="48">
          <cell r="B48">
            <v>241112411</v>
          </cell>
          <cell r="E48">
            <v>80</v>
          </cell>
          <cell r="F48">
            <v>85</v>
          </cell>
        </row>
        <row r="49">
          <cell r="B49">
            <v>241112498</v>
          </cell>
          <cell r="E49">
            <v>92</v>
          </cell>
          <cell r="F49">
            <v>85</v>
          </cell>
        </row>
        <row r="50">
          <cell r="B50">
            <v>241112546</v>
          </cell>
          <cell r="E50">
            <v>88</v>
          </cell>
          <cell r="F50">
            <v>92</v>
          </cell>
        </row>
        <row r="51">
          <cell r="B51">
            <v>241112584</v>
          </cell>
          <cell r="E51">
            <v>90</v>
          </cell>
          <cell r="F51">
            <v>80</v>
          </cell>
        </row>
        <row r="52">
          <cell r="B52">
            <v>241112659</v>
          </cell>
          <cell r="E52">
            <v>90</v>
          </cell>
          <cell r="F52">
            <v>80</v>
          </cell>
        </row>
        <row r="53">
          <cell r="B53">
            <v>241112730</v>
          </cell>
          <cell r="E53">
            <v>95</v>
          </cell>
          <cell r="F53">
            <v>88</v>
          </cell>
        </row>
        <row r="54">
          <cell r="B54">
            <v>241112797</v>
          </cell>
          <cell r="E54">
            <v>85</v>
          </cell>
          <cell r="F54">
            <v>82</v>
          </cell>
        </row>
        <row r="55">
          <cell r="B55">
            <v>241112834</v>
          </cell>
          <cell r="E55">
            <v>85</v>
          </cell>
          <cell r="F55">
            <v>82</v>
          </cell>
        </row>
        <row r="56">
          <cell r="B56">
            <v>241112979</v>
          </cell>
          <cell r="E56">
            <v>84</v>
          </cell>
          <cell r="F56">
            <v>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Rekap"/>
      <sheetName val="coba rekap ini_x000a_A_x000a_Teams has a ne"/>
    </sheetNames>
    <sheetDataSet>
      <sheetData sheetId="0">
        <row r="1">
          <cell r="S1" t="str">
            <v>%</v>
          </cell>
          <cell r="T1" t="str">
            <v>Total</v>
          </cell>
        </row>
        <row r="4">
          <cell r="P4">
            <v>241112546</v>
          </cell>
          <cell r="S4">
            <v>0.42857142857142855</v>
          </cell>
          <cell r="T4">
            <v>42.900000000000006</v>
          </cell>
        </row>
        <row r="5">
          <cell r="P5">
            <v>241110764</v>
          </cell>
          <cell r="S5">
            <v>0.7142857142857143</v>
          </cell>
          <cell r="T5">
            <v>44.900000000000006</v>
          </cell>
        </row>
        <row r="6">
          <cell r="P6">
            <v>241112271</v>
          </cell>
          <cell r="S6">
            <v>1</v>
          </cell>
          <cell r="T6">
            <v>100.10000000000001</v>
          </cell>
        </row>
        <row r="7">
          <cell r="P7">
            <v>241112730</v>
          </cell>
          <cell r="S7">
            <v>0.42857142857142855</v>
          </cell>
          <cell r="T7">
            <v>29.6</v>
          </cell>
        </row>
        <row r="8">
          <cell r="P8">
            <v>241112087</v>
          </cell>
          <cell r="S8">
            <v>1</v>
          </cell>
          <cell r="T8">
            <v>100.10000000000001</v>
          </cell>
        </row>
        <row r="9">
          <cell r="P9">
            <v>241110597</v>
          </cell>
          <cell r="S9">
            <v>1</v>
          </cell>
          <cell r="T9">
            <v>100.10000000000001</v>
          </cell>
        </row>
        <row r="10">
          <cell r="P10">
            <v>241110908</v>
          </cell>
          <cell r="S10">
            <v>0.7142857142857143</v>
          </cell>
          <cell r="T10">
            <v>58.2</v>
          </cell>
        </row>
        <row r="11">
          <cell r="P11">
            <v>241111093</v>
          </cell>
          <cell r="S11">
            <v>0.7142857142857143</v>
          </cell>
          <cell r="T11">
            <v>71.5</v>
          </cell>
        </row>
        <row r="12">
          <cell r="P12">
            <v>241110810</v>
          </cell>
          <cell r="S12">
            <v>1</v>
          </cell>
          <cell r="T12">
            <v>86.800000000000011</v>
          </cell>
        </row>
        <row r="13">
          <cell r="P13">
            <v>241110826</v>
          </cell>
          <cell r="S13">
            <v>0.14285714285714285</v>
          </cell>
          <cell r="T13">
            <v>14.3</v>
          </cell>
        </row>
        <row r="14">
          <cell r="P14">
            <v>241110939</v>
          </cell>
          <cell r="S14">
            <v>0.7142857142857143</v>
          </cell>
          <cell r="T14">
            <v>58.2</v>
          </cell>
        </row>
        <row r="15">
          <cell r="P15">
            <v>241111446</v>
          </cell>
          <cell r="S15">
            <v>0.5714285714285714</v>
          </cell>
          <cell r="T15">
            <v>43.900000000000006</v>
          </cell>
        </row>
        <row r="16">
          <cell r="P16">
            <v>241110430</v>
          </cell>
          <cell r="S16">
            <v>0.5714285714285714</v>
          </cell>
          <cell r="T16">
            <v>43.900000000000006</v>
          </cell>
        </row>
        <row r="17">
          <cell r="P17">
            <v>241110460</v>
          </cell>
          <cell r="S17">
            <v>1</v>
          </cell>
          <cell r="T17">
            <v>100.10000000000001</v>
          </cell>
        </row>
        <row r="18">
          <cell r="P18">
            <v>241110625</v>
          </cell>
          <cell r="S18">
            <v>0.8571428571428571</v>
          </cell>
          <cell r="T18">
            <v>85.800000000000011</v>
          </cell>
        </row>
        <row r="19">
          <cell r="P19">
            <v>241112358</v>
          </cell>
          <cell r="S19">
            <v>0.5714285714285714</v>
          </cell>
          <cell r="T19">
            <v>30.6</v>
          </cell>
        </row>
        <row r="20">
          <cell r="P20">
            <v>241111967</v>
          </cell>
          <cell r="S20">
            <v>0.8571428571428571</v>
          </cell>
          <cell r="T20">
            <v>45.900000000000006</v>
          </cell>
        </row>
        <row r="21">
          <cell r="P21">
            <v>241111802</v>
          </cell>
          <cell r="S21">
            <v>0.2857142857142857</v>
          </cell>
          <cell r="T21">
            <v>15.3</v>
          </cell>
        </row>
        <row r="22">
          <cell r="P22">
            <v>241110035</v>
          </cell>
          <cell r="S22">
            <v>1</v>
          </cell>
          <cell r="T22">
            <v>100.10000000000001</v>
          </cell>
        </row>
        <row r="23">
          <cell r="P23">
            <v>241112411</v>
          </cell>
          <cell r="S23">
            <v>0.42857142857142855</v>
          </cell>
          <cell r="T23">
            <v>3</v>
          </cell>
        </row>
        <row r="24">
          <cell r="P24">
            <v>241110402</v>
          </cell>
          <cell r="S24">
            <v>0.7142857142857143</v>
          </cell>
          <cell r="T24">
            <v>71.5</v>
          </cell>
        </row>
        <row r="25">
          <cell r="P25">
            <v>241110332</v>
          </cell>
          <cell r="S25">
            <v>1</v>
          </cell>
          <cell r="T25">
            <v>86.800000000000011</v>
          </cell>
        </row>
        <row r="26">
          <cell r="P26">
            <v>241110182</v>
          </cell>
          <cell r="S26">
            <v>1</v>
          </cell>
          <cell r="T26">
            <v>86.800000000000011</v>
          </cell>
        </row>
        <row r="27">
          <cell r="P27">
            <v>241111355</v>
          </cell>
          <cell r="S27">
            <v>0.7142857142857143</v>
          </cell>
          <cell r="T27">
            <v>44.900000000000006</v>
          </cell>
        </row>
        <row r="28">
          <cell r="P28">
            <v>241110567</v>
          </cell>
          <cell r="S28">
            <v>0.14285714285714285</v>
          </cell>
          <cell r="T28">
            <v>14.3</v>
          </cell>
        </row>
        <row r="29">
          <cell r="P29">
            <v>241110868</v>
          </cell>
          <cell r="S29">
            <v>1</v>
          </cell>
          <cell r="T29">
            <v>100.10000000000001</v>
          </cell>
        </row>
        <row r="30">
          <cell r="P30">
            <v>241112232</v>
          </cell>
          <cell r="S30">
            <v>1</v>
          </cell>
          <cell r="T30">
            <v>100.10000000000001</v>
          </cell>
        </row>
        <row r="31">
          <cell r="P31">
            <v>241111123</v>
          </cell>
          <cell r="S31">
            <v>0.5714285714285714</v>
          </cell>
          <cell r="T31">
            <v>30.6</v>
          </cell>
        </row>
        <row r="32">
          <cell r="P32">
            <v>241110982</v>
          </cell>
          <cell r="S32">
            <v>1</v>
          </cell>
          <cell r="T32">
            <v>86.800000000000011</v>
          </cell>
        </row>
        <row r="33">
          <cell r="P33">
            <v>241111056</v>
          </cell>
          <cell r="S33">
            <v>1</v>
          </cell>
          <cell r="T33">
            <v>86.800000000000011</v>
          </cell>
        </row>
        <row r="34">
          <cell r="P34">
            <v>241111178</v>
          </cell>
          <cell r="S34">
            <v>0.8571428571428571</v>
          </cell>
          <cell r="T34">
            <v>72.5</v>
          </cell>
        </row>
        <row r="35">
          <cell r="P35">
            <v>241112834</v>
          </cell>
          <cell r="S35">
            <v>1</v>
          </cell>
          <cell r="T35">
            <v>100.10000000000001</v>
          </cell>
        </row>
        <row r="36">
          <cell r="P36">
            <v>241112498</v>
          </cell>
          <cell r="S36">
            <v>1</v>
          </cell>
          <cell r="T36">
            <v>73.5</v>
          </cell>
        </row>
        <row r="37">
          <cell r="P37">
            <v>241110066</v>
          </cell>
          <cell r="S37">
            <v>0.42857142857142855</v>
          </cell>
          <cell r="T37">
            <v>29.6</v>
          </cell>
        </row>
        <row r="38">
          <cell r="P38">
            <v>241112979</v>
          </cell>
          <cell r="S38">
            <v>0.7142857142857143</v>
          </cell>
          <cell r="T38">
            <v>58.2</v>
          </cell>
        </row>
        <row r="39">
          <cell r="P39">
            <v>241110684</v>
          </cell>
          <cell r="S39">
            <v>0.5714285714285714</v>
          </cell>
          <cell r="T39">
            <v>43.900000000000006</v>
          </cell>
        </row>
        <row r="40">
          <cell r="P40">
            <v>241110236</v>
          </cell>
          <cell r="S40">
            <v>1</v>
          </cell>
          <cell r="T40">
            <v>86.800000000000011</v>
          </cell>
        </row>
        <row r="41">
          <cell r="P41">
            <v>241111704</v>
          </cell>
          <cell r="S41">
            <v>0.14285714285714285</v>
          </cell>
          <cell r="T41">
            <v>1</v>
          </cell>
        </row>
        <row r="42">
          <cell r="P42">
            <v>241111021</v>
          </cell>
          <cell r="S42">
            <v>0.7142857142857143</v>
          </cell>
          <cell r="T42">
            <v>44.900000000000006</v>
          </cell>
        </row>
        <row r="43">
          <cell r="P43">
            <v>241111842</v>
          </cell>
          <cell r="S43">
            <v>0.7142857142857143</v>
          </cell>
          <cell r="T43">
            <v>71.5</v>
          </cell>
        </row>
        <row r="44">
          <cell r="P44">
            <v>241112659</v>
          </cell>
          <cell r="S44">
            <v>0.8571428571428571</v>
          </cell>
          <cell r="T44">
            <v>72.5</v>
          </cell>
        </row>
        <row r="45">
          <cell r="P45">
            <v>241112584</v>
          </cell>
          <cell r="S45">
            <v>1</v>
          </cell>
          <cell r="T45">
            <v>100.10000000000001</v>
          </cell>
        </row>
        <row r="46">
          <cell r="P46">
            <v>241111649</v>
          </cell>
          <cell r="S46">
            <v>0.8571428571428571</v>
          </cell>
          <cell r="T46">
            <v>45.900000000000006</v>
          </cell>
        </row>
        <row r="47">
          <cell r="P47">
            <v>241112797</v>
          </cell>
          <cell r="S47">
            <v>1</v>
          </cell>
          <cell r="T47">
            <v>86.800000000000011</v>
          </cell>
        </row>
        <row r="48">
          <cell r="P48">
            <v>241110494</v>
          </cell>
          <cell r="S48">
            <v>1</v>
          </cell>
          <cell r="T48">
            <v>86.800000000000011</v>
          </cell>
        </row>
        <row r="49">
          <cell r="P49">
            <v>241110102</v>
          </cell>
          <cell r="S49">
            <v>1</v>
          </cell>
          <cell r="T49">
            <v>100.10000000000001</v>
          </cell>
        </row>
        <row r="50">
          <cell r="P50">
            <v>241110609</v>
          </cell>
          <cell r="S50">
            <v>0.42857142857142855</v>
          </cell>
          <cell r="T50">
            <v>42.900000000000006</v>
          </cell>
        </row>
        <row r="51">
          <cell r="P51">
            <v>241111300</v>
          </cell>
          <cell r="S51">
            <v>1</v>
          </cell>
          <cell r="T51">
            <v>100.10000000000001</v>
          </cell>
        </row>
        <row r="52">
          <cell r="P52">
            <v>241111583</v>
          </cell>
          <cell r="S52">
            <v>1</v>
          </cell>
          <cell r="T52">
            <v>100.10000000000001</v>
          </cell>
        </row>
        <row r="53">
          <cell r="P53">
            <v>241110371</v>
          </cell>
          <cell r="S53">
            <v>1</v>
          </cell>
          <cell r="T53">
            <v>73.5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FC1E-9E75-4C07-97C0-079551A36E84}">
  <dimension ref="A1:X63"/>
  <sheetViews>
    <sheetView tabSelected="1" showRuler="0" zoomScaleNormal="100" workbookViewId="0">
      <selection activeCell="H6" sqref="H6"/>
    </sheetView>
  </sheetViews>
  <sheetFormatPr defaultRowHeight="14.5" x14ac:dyDescent="0.35"/>
  <cols>
    <col min="1" max="1" width="15.90625" style="1" bestFit="1" customWidth="1"/>
    <col min="2" max="2" width="22.90625" style="1" bestFit="1" customWidth="1"/>
    <col min="3" max="3" width="25.7265625" style="1" bestFit="1" customWidth="1"/>
    <col min="4" max="4" width="17.08984375" style="1" bestFit="1" customWidth="1"/>
    <col min="5" max="5" width="38.36328125" style="1" bestFit="1" customWidth="1"/>
    <col min="6" max="6" width="6.453125" style="2" bestFit="1" customWidth="1"/>
    <col min="7" max="7" width="4.26953125" style="2" bestFit="1" customWidth="1"/>
    <col min="8" max="8" width="10.453125" style="1" customWidth="1"/>
    <col min="9" max="13" width="10.26953125" style="1" bestFit="1" customWidth="1"/>
    <col min="14" max="14" width="2.54296875" style="1" customWidth="1"/>
    <col min="15" max="15" width="7.26953125" style="3" bestFit="1" customWidth="1"/>
    <col min="16" max="16" width="7.08984375" style="1" bestFit="1" customWidth="1"/>
    <col min="17" max="17" width="13.1796875" style="4" bestFit="1" customWidth="1"/>
    <col min="18" max="18" width="5.26953125" style="4" bestFit="1" customWidth="1"/>
    <col min="19" max="19" width="7.90625" style="1" bestFit="1" customWidth="1"/>
    <col min="20" max="20" width="7.26953125" style="1" bestFit="1" customWidth="1"/>
    <col min="21" max="21" width="5.453125" style="1" bestFit="1" customWidth="1"/>
    <col min="22" max="22" width="10" style="1" bestFit="1" customWidth="1"/>
    <col min="23" max="23" width="10" style="1" customWidth="1"/>
    <col min="24" max="24" width="8.7265625" style="1" customWidth="1"/>
    <col min="25" max="16384" width="8.7265625" style="1"/>
  </cols>
  <sheetData>
    <row r="1" spans="1:24" x14ac:dyDescent="0.35">
      <c r="A1" s="1" t="s">
        <v>0</v>
      </c>
      <c r="B1" s="1" t="s">
        <v>1</v>
      </c>
    </row>
    <row r="2" spans="1:24" x14ac:dyDescent="0.35">
      <c r="A2" s="1" t="s">
        <v>2</v>
      </c>
      <c r="B2" s="1" t="s">
        <v>3</v>
      </c>
    </row>
    <row r="3" spans="1:24" x14ac:dyDescent="0.35">
      <c r="A3" s="1" t="s">
        <v>4</v>
      </c>
      <c r="B3" s="1" t="s">
        <v>5</v>
      </c>
    </row>
    <row r="4" spans="1:24" x14ac:dyDescent="0.35">
      <c r="A4" s="1" t="s">
        <v>6</v>
      </c>
      <c r="B4" s="1" t="s">
        <v>7</v>
      </c>
    </row>
    <row r="5" spans="1:24" x14ac:dyDescent="0.35">
      <c r="A5" s="1" t="s">
        <v>8</v>
      </c>
      <c r="B5" s="1">
        <v>2024</v>
      </c>
    </row>
    <row r="6" spans="1:24" x14ac:dyDescent="0.35">
      <c r="A6" s="1" t="s">
        <v>9</v>
      </c>
      <c r="B6" s="1" t="s">
        <v>10</v>
      </c>
    </row>
    <row r="7" spans="1:24" x14ac:dyDescent="0.35">
      <c r="A7" s="1" t="s">
        <v>11</v>
      </c>
      <c r="B7" s="1" t="s">
        <v>12</v>
      </c>
    </row>
    <row r="8" spans="1:24" ht="15" thickBot="1" x14ac:dyDescent="0.4">
      <c r="A8" s="1" t="s">
        <v>13</v>
      </c>
      <c r="B8" s="1" t="s">
        <v>14</v>
      </c>
    </row>
    <row r="9" spans="1:24" x14ac:dyDescent="0.35">
      <c r="F9" s="5">
        <v>0.25</v>
      </c>
      <c r="G9" s="5">
        <v>0.25</v>
      </c>
      <c r="H9" s="6" t="s">
        <v>15</v>
      </c>
      <c r="I9" s="7" t="s">
        <v>16</v>
      </c>
      <c r="J9" s="8" t="s">
        <v>17</v>
      </c>
      <c r="K9" s="8" t="s">
        <v>18</v>
      </c>
      <c r="L9" s="9" t="s">
        <v>19</v>
      </c>
      <c r="M9" s="9" t="s">
        <v>20</v>
      </c>
      <c r="N9" s="9"/>
      <c r="O9" s="10"/>
      <c r="P9" s="11"/>
      <c r="Q9" s="12">
        <v>0.15</v>
      </c>
      <c r="R9" s="12"/>
      <c r="S9" s="13">
        <v>0.05</v>
      </c>
      <c r="T9" s="13">
        <v>0.15</v>
      </c>
      <c r="U9" s="13">
        <v>0.15</v>
      </c>
      <c r="V9" s="13"/>
      <c r="W9" s="13"/>
    </row>
    <row r="10" spans="1:24" x14ac:dyDescent="0.35">
      <c r="A10" s="1" t="s">
        <v>21</v>
      </c>
      <c r="B10" s="1" t="s">
        <v>22</v>
      </c>
      <c r="C10" s="1" t="s">
        <v>23</v>
      </c>
      <c r="D10" s="1" t="s">
        <v>24</v>
      </c>
      <c r="E10" s="14" t="s">
        <v>25</v>
      </c>
      <c r="F10" s="15" t="s">
        <v>26</v>
      </c>
      <c r="G10" s="15" t="s">
        <v>27</v>
      </c>
      <c r="H10" s="16" t="s">
        <v>28</v>
      </c>
      <c r="I10" s="14" t="s">
        <v>29</v>
      </c>
      <c r="J10" s="14" t="s">
        <v>30</v>
      </c>
      <c r="K10" s="14" t="s">
        <v>31</v>
      </c>
      <c r="L10" s="14" t="s">
        <v>32</v>
      </c>
      <c r="M10" s="14" t="s">
        <v>33</v>
      </c>
      <c r="N10" s="14"/>
      <c r="O10" s="17" t="s">
        <v>34</v>
      </c>
      <c r="P10" s="18" t="s">
        <v>35</v>
      </c>
      <c r="Q10" s="19" t="s">
        <v>36</v>
      </c>
      <c r="R10" s="19" t="s">
        <v>37</v>
      </c>
      <c r="S10" s="14" t="s">
        <v>38</v>
      </c>
      <c r="T10" s="14" t="s">
        <v>39</v>
      </c>
      <c r="U10" s="14" t="s">
        <v>40</v>
      </c>
      <c r="V10" s="14" t="s">
        <v>41</v>
      </c>
      <c r="W10" s="14" t="s">
        <v>42</v>
      </c>
      <c r="X10" s="14" t="s">
        <v>43</v>
      </c>
    </row>
    <row r="11" spans="1:24" x14ac:dyDescent="0.35">
      <c r="E11" s="14"/>
      <c r="H11" s="16"/>
      <c r="I11" s="14"/>
      <c r="J11" s="14"/>
      <c r="K11" s="14"/>
      <c r="L11" s="14"/>
      <c r="M11" s="14"/>
      <c r="N11" s="14"/>
      <c r="O11" s="17"/>
      <c r="P11" s="18"/>
      <c r="Q11" s="19"/>
      <c r="R11" s="19"/>
      <c r="S11" s="14"/>
      <c r="T11" s="14"/>
      <c r="U11" s="14"/>
      <c r="V11" s="14"/>
      <c r="W11" s="14"/>
    </row>
    <row r="12" spans="1:24" x14ac:dyDescent="0.35">
      <c r="A12" s="1">
        <v>1</v>
      </c>
      <c r="B12" s="1">
        <v>241110035</v>
      </c>
      <c r="C12" s="1" t="s">
        <v>44</v>
      </c>
      <c r="D12" s="1" t="s">
        <v>45</v>
      </c>
      <c r="E12" s="1" t="s">
        <v>46</v>
      </c>
      <c r="F12" s="2" cm="1">
        <f t="array" ref="F12">_xlfn.IFNA(_xlfn.XLOOKUP(B12,'[1]test calc nilai mentah'!$B:$B,'[1]test calc nilai mentah'!$E:$E),null)</f>
        <v>90</v>
      </c>
      <c r="G12" s="2" cm="1">
        <f t="array" ref="G12">_xlfn.IFNA(_xlfn.XLOOKUP(B12,'[1]test calc nilai mentah'!$B:$B,'[1]test calc nilai mentah'!$F:$F),null)</f>
        <v>92</v>
      </c>
      <c r="H12" s="20" t="s">
        <v>15</v>
      </c>
      <c r="I12" s="1" t="s">
        <v>16</v>
      </c>
      <c r="J12" s="1" t="s">
        <v>47</v>
      </c>
      <c r="K12" s="1" t="s">
        <v>48</v>
      </c>
      <c r="L12" s="1" t="s">
        <v>49</v>
      </c>
      <c r="M12" s="1" t="s">
        <v>50</v>
      </c>
      <c r="O12" s="21">
        <v>1</v>
      </c>
      <c r="P12" s="22">
        <v>8</v>
      </c>
      <c r="Q12" s="4">
        <v>100</v>
      </c>
      <c r="R12" s="23">
        <f>_xlfn.XLOOKUP(B12,[2]Report!$P:$P,[2]Report!$S:$S)</f>
        <v>1</v>
      </c>
      <c r="S12" s="1">
        <v>90</v>
      </c>
      <c r="T12" s="1">
        <v>96</v>
      </c>
      <c r="U12" s="1">
        <v>100</v>
      </c>
      <c r="V12" s="1">
        <f>($F$9*F12)+($G$9*G12)+($Q$9*Q12)+($S$9*S12)+($T$9*T12)+($U$9*U12)</f>
        <v>94.4</v>
      </c>
      <c r="W12" s="1">
        <f>ROUNDUP(V12,0)</f>
        <v>95</v>
      </c>
      <c r="X12" s="24" t="str">
        <f t="shared" ref="X12:X63" si="0">IF(V12&gt;=85,"A",IF(V12&gt;=80,"A-",IF(V12&gt;=75,"B+",IF(V12&gt;=71,"B",IF(V12&gt;=68,"B-",IF(V12&gt;=58,"C","E"))))))</f>
        <v>A</v>
      </c>
    </row>
    <row r="13" spans="1:24" x14ac:dyDescent="0.35">
      <c r="A13" s="1">
        <v>2</v>
      </c>
      <c r="B13" s="1">
        <v>241110066</v>
      </c>
      <c r="C13" s="1" t="s">
        <v>51</v>
      </c>
      <c r="D13" s="1" t="s">
        <v>52</v>
      </c>
      <c r="E13" s="1" t="s">
        <v>53</v>
      </c>
      <c r="F13" s="2" cm="1">
        <f t="array" ref="F13">_xlfn.IFNA(_xlfn.XLOOKUP(B13,'[1]test calc nilai mentah'!$B:$B,'[1]test calc nilai mentah'!$E:$E),null)</f>
        <v>95</v>
      </c>
      <c r="G13" s="2" cm="1">
        <f t="array" ref="G13">_xlfn.IFNA(_xlfn.XLOOKUP(B13,'[1]test calc nilai mentah'!$B:$B,'[1]test calc nilai mentah'!$F:$F),null)</f>
        <v>94</v>
      </c>
      <c r="H13" s="25" t="s">
        <v>54</v>
      </c>
      <c r="I13" s="1" t="s">
        <v>16</v>
      </c>
      <c r="J13" s="1" t="s">
        <v>55</v>
      </c>
      <c r="K13" s="1" t="s">
        <v>56</v>
      </c>
      <c r="L13" s="1" t="s">
        <v>57</v>
      </c>
      <c r="M13" s="1" t="s">
        <v>58</v>
      </c>
      <c r="O13" s="21">
        <v>0.93</v>
      </c>
      <c r="P13" s="26"/>
      <c r="Q13" s="4">
        <v>11</v>
      </c>
      <c r="R13" s="23">
        <f>_xlfn.XLOOKUP(B13,[2]Report!$P:$P,[2]Report!$S:$S)</f>
        <v>0.42857142857142855</v>
      </c>
      <c r="S13" s="1">
        <v>90</v>
      </c>
      <c r="T13" s="1">
        <v>100</v>
      </c>
      <c r="U13" s="1">
        <v>100</v>
      </c>
      <c r="V13" s="1">
        <f t="shared" ref="V13:V63" si="1">($F$9*F13)+($G$9*G13)+($Q$9*Q13)+($S$9*S13)+($T$9*T13)+($U$9*U13)</f>
        <v>83.4</v>
      </c>
      <c r="W13" s="1">
        <f t="shared" ref="W13:W63" si="2">ROUNDUP(V13,0)</f>
        <v>84</v>
      </c>
      <c r="X13" s="27" t="str">
        <f t="shared" si="0"/>
        <v>A-</v>
      </c>
    </row>
    <row r="14" spans="1:24" x14ac:dyDescent="0.35">
      <c r="A14" s="1">
        <v>3</v>
      </c>
      <c r="B14" s="1">
        <v>241110102</v>
      </c>
      <c r="C14" s="1" t="s">
        <v>59</v>
      </c>
      <c r="D14" s="1" t="s">
        <v>60</v>
      </c>
      <c r="E14" s="1" t="s">
        <v>61</v>
      </c>
      <c r="F14" s="2" cm="1">
        <f t="array" ref="F14">_xlfn.IFNA(_xlfn.XLOOKUP(B14,'[1]test calc nilai mentah'!$B:$B,'[1]test calc nilai mentah'!$E:$E),null)</f>
        <v>90</v>
      </c>
      <c r="G14" s="2" cm="1">
        <f t="array" ref="G14">_xlfn.IFNA(_xlfn.XLOOKUP(B14,'[1]test calc nilai mentah'!$B:$B,'[1]test calc nilai mentah'!$F:$F),null)</f>
        <v>92</v>
      </c>
      <c r="H14" s="20" t="s">
        <v>62</v>
      </c>
      <c r="I14" s="1" t="s">
        <v>16</v>
      </c>
      <c r="J14" s="1" t="s">
        <v>63</v>
      </c>
      <c r="K14" s="1" t="s">
        <v>64</v>
      </c>
      <c r="L14" s="1" t="s">
        <v>65</v>
      </c>
      <c r="M14" s="1" t="s">
        <v>66</v>
      </c>
      <c r="O14" s="21">
        <v>0.93</v>
      </c>
      <c r="P14" s="28">
        <v>2.5</v>
      </c>
      <c r="Q14" s="4">
        <v>100</v>
      </c>
      <c r="R14" s="23">
        <f>_xlfn.XLOOKUP(B14,[2]Report!$P:$P,[2]Report!$S:$S)</f>
        <v>1</v>
      </c>
      <c r="S14" s="1">
        <v>70</v>
      </c>
      <c r="T14" s="1">
        <v>98</v>
      </c>
      <c r="U14" s="1">
        <v>100</v>
      </c>
      <c r="V14" s="1">
        <f t="shared" si="1"/>
        <v>93.7</v>
      </c>
      <c r="W14" s="1">
        <f t="shared" si="2"/>
        <v>94</v>
      </c>
      <c r="X14" s="27" t="str">
        <f t="shared" si="0"/>
        <v>A</v>
      </c>
    </row>
    <row r="15" spans="1:24" x14ac:dyDescent="0.35">
      <c r="A15" s="1">
        <v>4</v>
      </c>
      <c r="B15" s="1">
        <v>241110182</v>
      </c>
      <c r="C15" s="1" t="s">
        <v>67</v>
      </c>
      <c r="D15" s="1" t="s">
        <v>68</v>
      </c>
      <c r="E15" s="1" t="s">
        <v>69</v>
      </c>
      <c r="F15" s="2" cm="1">
        <f t="array" ref="F15">_xlfn.IFNA(_xlfn.XLOOKUP(B15,'[1]test calc nilai mentah'!$B:$B,'[1]test calc nilai mentah'!$E:$E),null)</f>
        <v>96</v>
      </c>
      <c r="G15" s="2" cm="1">
        <f t="array" ref="G15">_xlfn.IFNA(_xlfn.XLOOKUP(B15,'[1]test calc nilai mentah'!$B:$B,'[1]test calc nilai mentah'!$F:$F),null)</f>
        <v>95</v>
      </c>
      <c r="H15" s="20" t="s">
        <v>70</v>
      </c>
      <c r="I15" s="1" t="s">
        <v>16</v>
      </c>
      <c r="J15" s="1" t="s">
        <v>71</v>
      </c>
      <c r="K15" s="1" t="s">
        <v>72</v>
      </c>
      <c r="L15" s="1" t="s">
        <v>73</v>
      </c>
      <c r="M15" s="1" t="s">
        <v>74</v>
      </c>
      <c r="O15" s="21">
        <v>0.93</v>
      </c>
      <c r="P15" s="26"/>
      <c r="Q15" s="4">
        <v>87</v>
      </c>
      <c r="R15" s="23">
        <f>_xlfn.XLOOKUP(B15,[2]Report!$P:$P,[2]Report!$S:$S)</f>
        <v>1</v>
      </c>
      <c r="S15" s="1">
        <v>90</v>
      </c>
      <c r="T15" s="1">
        <v>100</v>
      </c>
      <c r="U15" s="1">
        <v>100</v>
      </c>
      <c r="V15" s="1">
        <f t="shared" si="1"/>
        <v>95.3</v>
      </c>
      <c r="W15" s="1">
        <f t="shared" si="2"/>
        <v>96</v>
      </c>
      <c r="X15" s="27" t="str">
        <f t="shared" si="0"/>
        <v>A</v>
      </c>
    </row>
    <row r="16" spans="1:24" x14ac:dyDescent="0.35">
      <c r="A16" s="1">
        <v>5</v>
      </c>
      <c r="B16" s="1">
        <v>241110236</v>
      </c>
      <c r="C16" s="29" t="s">
        <v>75</v>
      </c>
      <c r="D16" s="1" t="s">
        <v>76</v>
      </c>
      <c r="E16" s="1" t="s">
        <v>77</v>
      </c>
      <c r="F16" s="2" cm="1">
        <f t="array" ref="F16">_xlfn.IFNA(_xlfn.XLOOKUP(B16,'[1]test calc nilai mentah'!$B:$B,'[1]test calc nilai mentah'!$E:$E),null)</f>
        <v>88</v>
      </c>
      <c r="G16" s="2" cm="1">
        <f t="array" ref="G16">_xlfn.IFNA(_xlfn.XLOOKUP(B16,'[1]test calc nilai mentah'!$B:$B,'[1]test calc nilai mentah'!$F:$F),null)</f>
        <v>80</v>
      </c>
      <c r="H16" s="20" t="s">
        <v>78</v>
      </c>
      <c r="I16" s="1" t="s">
        <v>16</v>
      </c>
      <c r="J16" s="1" t="s">
        <v>16</v>
      </c>
      <c r="K16" s="1" t="s">
        <v>79</v>
      </c>
      <c r="L16" s="1" t="s">
        <v>80</v>
      </c>
      <c r="M16" s="1" t="s">
        <v>81</v>
      </c>
      <c r="O16" s="21">
        <v>1</v>
      </c>
      <c r="P16" s="26"/>
      <c r="Q16" s="4">
        <v>87</v>
      </c>
      <c r="R16" s="23">
        <f>_xlfn.XLOOKUP(B16,[2]Report!$P:$P,[2]Report!$S:$S)</f>
        <v>1</v>
      </c>
      <c r="S16" s="1">
        <v>70</v>
      </c>
      <c r="T16" s="1">
        <v>66</v>
      </c>
      <c r="U16" s="1">
        <v>100</v>
      </c>
      <c r="V16" s="1">
        <f t="shared" si="1"/>
        <v>83.45</v>
      </c>
      <c r="W16" s="1">
        <f t="shared" si="2"/>
        <v>84</v>
      </c>
      <c r="X16" s="27" t="str">
        <f t="shared" si="0"/>
        <v>A-</v>
      </c>
    </row>
    <row r="17" spans="1:24" x14ac:dyDescent="0.35">
      <c r="A17" s="1">
        <v>6</v>
      </c>
      <c r="B17" s="1">
        <v>241110332</v>
      </c>
      <c r="C17" s="1" t="s">
        <v>82</v>
      </c>
      <c r="D17" s="1" t="s">
        <v>83</v>
      </c>
      <c r="E17" s="1" t="s">
        <v>84</v>
      </c>
      <c r="F17" s="2" cm="1">
        <f t="array" ref="F17">_xlfn.IFNA(_xlfn.XLOOKUP(B17,'[1]test calc nilai mentah'!$B:$B,'[1]test calc nilai mentah'!$E:$E),null)</f>
        <v>90</v>
      </c>
      <c r="G17" s="2" cm="1">
        <f t="array" ref="G17">_xlfn.IFNA(_xlfn.XLOOKUP(B17,'[1]test calc nilai mentah'!$B:$B,'[1]test calc nilai mentah'!$F:$F),null)</f>
        <v>92</v>
      </c>
      <c r="H17" s="20" t="s">
        <v>85</v>
      </c>
      <c r="I17" s="1" t="s">
        <v>16</v>
      </c>
      <c r="J17" s="1" t="s">
        <v>86</v>
      </c>
      <c r="K17" s="1" t="s">
        <v>87</v>
      </c>
      <c r="L17" s="1" t="s">
        <v>88</v>
      </c>
      <c r="M17" s="1" t="s">
        <v>89</v>
      </c>
      <c r="O17" s="21">
        <v>1</v>
      </c>
      <c r="P17" s="26"/>
      <c r="Q17" s="4">
        <v>87</v>
      </c>
      <c r="R17" s="23">
        <f>_xlfn.XLOOKUP(B17,[2]Report!$P:$P,[2]Report!$S:$S)</f>
        <v>1</v>
      </c>
      <c r="S17" s="1">
        <v>90</v>
      </c>
      <c r="T17" s="1">
        <v>94</v>
      </c>
      <c r="U17" s="1">
        <v>100</v>
      </c>
      <c r="V17" s="1">
        <f t="shared" si="1"/>
        <v>92.149999999999991</v>
      </c>
      <c r="W17" s="1">
        <f t="shared" si="2"/>
        <v>93</v>
      </c>
      <c r="X17" s="27" t="str">
        <f t="shared" si="0"/>
        <v>A</v>
      </c>
    </row>
    <row r="18" spans="1:24" x14ac:dyDescent="0.35">
      <c r="A18" s="1">
        <v>7</v>
      </c>
      <c r="B18" s="1">
        <v>241110371</v>
      </c>
      <c r="C18" s="30" t="s">
        <v>90</v>
      </c>
      <c r="D18" s="1" t="s">
        <v>91</v>
      </c>
      <c r="E18" s="1" t="s">
        <v>92</v>
      </c>
      <c r="F18" s="2" cm="1">
        <f t="array" ref="F18">_xlfn.IFNA(_xlfn.XLOOKUP(B18,'[1]test calc nilai mentah'!$B:$B,'[1]test calc nilai mentah'!$E:$E),null)</f>
        <v>92</v>
      </c>
      <c r="G18" s="2" cm="1">
        <f t="array" ref="G18">_xlfn.IFNA(_xlfn.XLOOKUP(B18,'[1]test calc nilai mentah'!$B:$B,'[1]test calc nilai mentah'!$F:$F),null)</f>
        <v>85</v>
      </c>
      <c r="H18" s="25" t="s">
        <v>93</v>
      </c>
      <c r="I18" s="1" t="s">
        <v>16</v>
      </c>
      <c r="J18" s="1" t="s">
        <v>94</v>
      </c>
      <c r="K18" s="1" t="s">
        <v>95</v>
      </c>
      <c r="L18" s="1" t="s">
        <v>96</v>
      </c>
      <c r="M18" s="1" t="s">
        <v>97</v>
      </c>
      <c r="O18" s="21">
        <v>1</v>
      </c>
      <c r="P18" s="26"/>
      <c r="Q18" s="4">
        <v>74</v>
      </c>
      <c r="R18" s="23">
        <f>_xlfn.XLOOKUP(B18,[2]Report!$P:$P,[2]Report!$S:$S)</f>
        <v>1</v>
      </c>
      <c r="S18" s="1">
        <v>100</v>
      </c>
      <c r="T18" s="1">
        <v>96</v>
      </c>
      <c r="U18" s="1">
        <v>100</v>
      </c>
      <c r="V18" s="1">
        <f t="shared" si="1"/>
        <v>89.75</v>
      </c>
      <c r="W18" s="1">
        <f t="shared" si="2"/>
        <v>90</v>
      </c>
      <c r="X18" s="27" t="str">
        <f t="shared" si="0"/>
        <v>A</v>
      </c>
    </row>
    <row r="19" spans="1:24" x14ac:dyDescent="0.35">
      <c r="A19" s="1">
        <v>8</v>
      </c>
      <c r="B19" s="1">
        <v>241110402</v>
      </c>
      <c r="C19" s="29" t="s">
        <v>98</v>
      </c>
      <c r="D19" s="1" t="s">
        <v>99</v>
      </c>
      <c r="E19" s="1" t="s">
        <v>100</v>
      </c>
      <c r="F19" s="2" cm="1">
        <f t="array" ref="F19">_xlfn.IFNA(_xlfn.XLOOKUP(B19,'[1]test calc nilai mentah'!$B:$B,'[1]test calc nilai mentah'!$E:$E),null)</f>
        <v>88</v>
      </c>
      <c r="G19" s="2" cm="1">
        <f t="array" ref="G19">_xlfn.IFNA(_xlfn.XLOOKUP(B19,'[1]test calc nilai mentah'!$B:$B,'[1]test calc nilai mentah'!$F:$F),null)</f>
        <v>80</v>
      </c>
      <c r="H19" s="25" t="s">
        <v>101</v>
      </c>
      <c r="I19" s="1" t="s">
        <v>16</v>
      </c>
      <c r="J19" s="29" t="s">
        <v>102</v>
      </c>
      <c r="K19" s="1" t="s">
        <v>103</v>
      </c>
      <c r="L19" s="29" t="s">
        <v>104</v>
      </c>
      <c r="M19" s="1" t="s">
        <v>105</v>
      </c>
      <c r="O19" s="21">
        <v>1</v>
      </c>
      <c r="P19" s="26"/>
      <c r="Q19" s="4">
        <v>72</v>
      </c>
      <c r="R19" s="23">
        <f>_xlfn.XLOOKUP(B19,[2]Report!$P:$P,[2]Report!$S:$S)</f>
        <v>0.7142857142857143</v>
      </c>
      <c r="S19" s="1">
        <v>70</v>
      </c>
      <c r="T19" s="1">
        <v>82</v>
      </c>
      <c r="U19" s="1">
        <v>100</v>
      </c>
      <c r="V19" s="1">
        <f t="shared" si="1"/>
        <v>83.6</v>
      </c>
      <c r="W19" s="1">
        <f t="shared" si="2"/>
        <v>84</v>
      </c>
      <c r="X19" s="27" t="str">
        <f t="shared" si="0"/>
        <v>A-</v>
      </c>
    </row>
    <row r="20" spans="1:24" x14ac:dyDescent="0.35">
      <c r="A20" s="1">
        <v>9</v>
      </c>
      <c r="B20" s="1">
        <v>241110430</v>
      </c>
      <c r="C20" s="1" t="s">
        <v>106</v>
      </c>
      <c r="D20" s="1" t="s">
        <v>107</v>
      </c>
      <c r="E20" s="1" t="s">
        <v>108</v>
      </c>
      <c r="F20" s="2" cm="1">
        <f t="array" ref="F20">_xlfn.IFNA(_xlfn.XLOOKUP(B20,'[1]test calc nilai mentah'!$B:$B,'[1]test calc nilai mentah'!$E:$E),null)</f>
        <v>82</v>
      </c>
      <c r="G20" s="2" cm="1">
        <f t="array" ref="G20">_xlfn.IFNA(_xlfn.XLOOKUP(B20,'[1]test calc nilai mentah'!$B:$B,'[1]test calc nilai mentah'!$F:$F),null)</f>
        <v>92</v>
      </c>
      <c r="H20" s="25" t="s">
        <v>109</v>
      </c>
      <c r="I20" s="1" t="s">
        <v>16</v>
      </c>
      <c r="J20" s="1" t="s">
        <v>110</v>
      </c>
      <c r="K20" s="1" t="s">
        <v>111</v>
      </c>
      <c r="L20" s="1" t="s">
        <v>112</v>
      </c>
      <c r="M20" s="1" t="s">
        <v>113</v>
      </c>
      <c r="O20" s="21">
        <v>0.93</v>
      </c>
      <c r="P20" s="26"/>
      <c r="Q20" s="4">
        <v>44</v>
      </c>
      <c r="R20" s="23">
        <f>_xlfn.XLOOKUP(B20,[2]Report!$P:$P,[2]Report!$S:$S)</f>
        <v>0.5714285714285714</v>
      </c>
      <c r="S20" s="1">
        <v>80</v>
      </c>
      <c r="T20" s="1">
        <v>98</v>
      </c>
      <c r="U20" s="1">
        <v>100</v>
      </c>
      <c r="V20" s="1">
        <f t="shared" si="1"/>
        <v>83.8</v>
      </c>
      <c r="W20" s="1">
        <f t="shared" si="2"/>
        <v>84</v>
      </c>
      <c r="X20" s="27" t="str">
        <f t="shared" si="0"/>
        <v>A-</v>
      </c>
    </row>
    <row r="21" spans="1:24" x14ac:dyDescent="0.35">
      <c r="A21" s="1">
        <v>10</v>
      </c>
      <c r="B21" s="1">
        <v>241110460</v>
      </c>
      <c r="C21" s="30" t="s">
        <v>114</v>
      </c>
      <c r="D21" s="1" t="s">
        <v>115</v>
      </c>
      <c r="E21" s="1" t="s">
        <v>116</v>
      </c>
      <c r="F21" s="2" cm="1">
        <f t="array" ref="F21">_xlfn.IFNA(_xlfn.XLOOKUP(B21,'[1]test calc nilai mentah'!$B:$B,'[1]test calc nilai mentah'!$E:$E),null)</f>
        <v>92</v>
      </c>
      <c r="G21" s="2" cm="1">
        <f t="array" ref="G21">_xlfn.IFNA(_xlfn.XLOOKUP(B21,'[1]test calc nilai mentah'!$B:$B,'[1]test calc nilai mentah'!$F:$F),null)</f>
        <v>85</v>
      </c>
      <c r="H21" s="20" t="s">
        <v>117</v>
      </c>
      <c r="I21" s="1" t="s">
        <v>16</v>
      </c>
      <c r="J21" s="1" t="s">
        <v>118</v>
      </c>
      <c r="K21" s="1" t="s">
        <v>119</v>
      </c>
      <c r="L21" s="1" t="s">
        <v>120</v>
      </c>
      <c r="M21" s="1" t="s">
        <v>121</v>
      </c>
      <c r="O21" s="21">
        <v>0.87</v>
      </c>
      <c r="P21" s="26"/>
      <c r="Q21" s="4">
        <v>100</v>
      </c>
      <c r="R21" s="23">
        <f>_xlfn.XLOOKUP(B21,[2]Report!$P:$P,[2]Report!$S:$S)</f>
        <v>1</v>
      </c>
      <c r="S21" s="1">
        <v>100</v>
      </c>
      <c r="T21" s="1">
        <v>100</v>
      </c>
      <c r="U21" s="1">
        <v>100</v>
      </c>
      <c r="V21" s="1">
        <f t="shared" si="1"/>
        <v>94.25</v>
      </c>
      <c r="W21" s="1">
        <f t="shared" si="2"/>
        <v>95</v>
      </c>
      <c r="X21" s="27" t="str">
        <f t="shared" si="0"/>
        <v>A</v>
      </c>
    </row>
    <row r="22" spans="1:24" x14ac:dyDescent="0.35">
      <c r="A22" s="1">
        <v>11</v>
      </c>
      <c r="B22" s="1">
        <v>241110494</v>
      </c>
      <c r="C22" s="1" t="s">
        <v>122</v>
      </c>
      <c r="D22" s="1" t="s">
        <v>123</v>
      </c>
      <c r="E22" s="1" t="s">
        <v>124</v>
      </c>
      <c r="F22" s="2" cm="1">
        <f t="array" ref="F22">_xlfn.IFNA(_xlfn.XLOOKUP(B22,'[1]test calc nilai mentah'!$B:$B,'[1]test calc nilai mentah'!$E:$E),null)</f>
        <v>85</v>
      </c>
      <c r="G22" s="2" cm="1">
        <f t="array" ref="G22">_xlfn.IFNA(_xlfn.XLOOKUP(B22,'[1]test calc nilai mentah'!$B:$B,'[1]test calc nilai mentah'!$F:$F),null)</f>
        <v>82</v>
      </c>
      <c r="H22" s="20" t="s">
        <v>125</v>
      </c>
      <c r="I22" s="1" t="s">
        <v>16</v>
      </c>
      <c r="J22" s="1" t="s">
        <v>126</v>
      </c>
      <c r="K22" s="1" t="s">
        <v>127</v>
      </c>
      <c r="L22" s="1" t="s">
        <v>128</v>
      </c>
      <c r="M22" s="1" t="s">
        <v>129</v>
      </c>
      <c r="O22" s="21">
        <v>1</v>
      </c>
      <c r="P22" s="26"/>
      <c r="Q22" s="4">
        <v>87</v>
      </c>
      <c r="R22" s="23">
        <f>_xlfn.XLOOKUP(B22,[2]Report!$P:$P,[2]Report!$S:$S)</f>
        <v>1</v>
      </c>
      <c r="S22" s="1">
        <v>90</v>
      </c>
      <c r="T22" s="1">
        <v>98</v>
      </c>
      <c r="U22" s="1">
        <v>92</v>
      </c>
      <c r="V22" s="1">
        <f t="shared" si="1"/>
        <v>87.8</v>
      </c>
      <c r="W22" s="1">
        <f t="shared" si="2"/>
        <v>88</v>
      </c>
      <c r="X22" s="27" t="str">
        <f t="shared" si="0"/>
        <v>A</v>
      </c>
    </row>
    <row r="23" spans="1:24" x14ac:dyDescent="0.35">
      <c r="A23" s="1">
        <v>12</v>
      </c>
      <c r="B23" s="1">
        <v>241110567</v>
      </c>
      <c r="C23" s="1" t="s">
        <v>130</v>
      </c>
      <c r="D23" s="1" t="s">
        <v>131</v>
      </c>
      <c r="E23" s="1" t="s">
        <v>132</v>
      </c>
      <c r="F23" s="2" cm="1">
        <f t="array" ref="F23">_xlfn.IFNA(_xlfn.XLOOKUP(B23,'[1]test calc nilai mentah'!$B:$B,'[1]test calc nilai mentah'!$E:$E),null)</f>
        <v>88</v>
      </c>
      <c r="G23" s="2" cm="1">
        <f t="array" ref="G23">_xlfn.IFNA(_xlfn.XLOOKUP(B23,'[1]test calc nilai mentah'!$B:$B,'[1]test calc nilai mentah'!$F:$F),null)</f>
        <v>80</v>
      </c>
      <c r="H23" s="20" t="s">
        <v>133</v>
      </c>
      <c r="I23" s="1" t="s">
        <v>16</v>
      </c>
      <c r="J23" s="29" t="s">
        <v>134</v>
      </c>
      <c r="K23" s="1" t="s">
        <v>135</v>
      </c>
      <c r="L23" s="29" t="s">
        <v>136</v>
      </c>
      <c r="M23" s="29" t="s">
        <v>137</v>
      </c>
      <c r="N23" s="29"/>
      <c r="O23" s="21">
        <v>0.93</v>
      </c>
      <c r="P23" s="26"/>
      <c r="Q23" s="4">
        <f>_xlfn.XLOOKUP(B23,[2]Report!$P:$P,[2]Report!$T:$T)</f>
        <v>14.3</v>
      </c>
      <c r="R23" s="23">
        <f>_xlfn.XLOOKUP(B23,[2]Report!$P:$P,[2]Report!$S:$S)</f>
        <v>0.14285714285714285</v>
      </c>
      <c r="S23" s="1">
        <v>90</v>
      </c>
      <c r="T23" s="1">
        <v>98</v>
      </c>
      <c r="U23" s="1">
        <v>100</v>
      </c>
      <c r="V23" s="1">
        <f t="shared" si="1"/>
        <v>78.344999999999999</v>
      </c>
      <c r="W23" s="1">
        <f t="shared" si="2"/>
        <v>79</v>
      </c>
      <c r="X23" s="27" t="str">
        <f t="shared" si="0"/>
        <v>B+</v>
      </c>
    </row>
    <row r="24" spans="1:24" x14ac:dyDescent="0.35">
      <c r="A24" s="1">
        <v>13</v>
      </c>
      <c r="B24" s="1">
        <v>241110597</v>
      </c>
      <c r="C24" s="1" t="s">
        <v>138</v>
      </c>
      <c r="D24" s="1" t="s">
        <v>139</v>
      </c>
      <c r="E24" s="1" t="s">
        <v>140</v>
      </c>
      <c r="F24" s="2" cm="1">
        <f t="array" ref="F24">_xlfn.IFNA(_xlfn.XLOOKUP(B24,'[1]test calc nilai mentah'!$B:$B,'[1]test calc nilai mentah'!$E:$E),null)</f>
        <v>95</v>
      </c>
      <c r="G24" s="2" cm="1">
        <f t="array" ref="G24">_xlfn.IFNA(_xlfn.XLOOKUP(B24,'[1]test calc nilai mentah'!$B:$B,'[1]test calc nilai mentah'!$F:$F),null)</f>
        <v>88</v>
      </c>
      <c r="H24" s="20" t="s">
        <v>141</v>
      </c>
      <c r="I24" s="1" t="s">
        <v>16</v>
      </c>
      <c r="J24" s="1" t="s">
        <v>142</v>
      </c>
      <c r="K24" s="1" t="s">
        <v>143</v>
      </c>
      <c r="L24" s="1" t="s">
        <v>144</v>
      </c>
      <c r="M24" s="1" t="s">
        <v>145</v>
      </c>
      <c r="O24" s="21">
        <v>0.93</v>
      </c>
      <c r="P24" s="26"/>
      <c r="Q24" s="4">
        <v>100</v>
      </c>
      <c r="R24" s="23">
        <f>_xlfn.XLOOKUP(B24,[2]Report!$P:$P,[2]Report!$S:$S)</f>
        <v>1</v>
      </c>
      <c r="S24" s="1">
        <v>90</v>
      </c>
      <c r="T24" s="1">
        <v>100</v>
      </c>
      <c r="U24" s="1">
        <v>100</v>
      </c>
      <c r="V24" s="1">
        <f t="shared" si="1"/>
        <v>95.25</v>
      </c>
      <c r="W24" s="1">
        <f t="shared" si="2"/>
        <v>96</v>
      </c>
      <c r="X24" s="27" t="str">
        <f t="shared" si="0"/>
        <v>A</v>
      </c>
    </row>
    <row r="25" spans="1:24" x14ac:dyDescent="0.35">
      <c r="A25" s="1">
        <v>14</v>
      </c>
      <c r="B25" s="1">
        <v>241110609</v>
      </c>
      <c r="C25" s="1" t="s">
        <v>146</v>
      </c>
      <c r="D25" s="1" t="s">
        <v>147</v>
      </c>
      <c r="E25" s="1" t="s">
        <v>148</v>
      </c>
      <c r="F25" s="2" cm="1">
        <f t="array" ref="F25">_xlfn.IFNA(_xlfn.XLOOKUP(B25,'[1]test calc nilai mentah'!$B:$B,'[1]test calc nilai mentah'!$E:$E),null)</f>
        <v>90</v>
      </c>
      <c r="G25" s="2" cm="1">
        <f t="array" ref="G25">_xlfn.IFNA(_xlfn.XLOOKUP(B25,'[1]test calc nilai mentah'!$B:$B,'[1]test calc nilai mentah'!$F:$F),null)</f>
        <v>92</v>
      </c>
      <c r="H25" s="20" t="s">
        <v>149</v>
      </c>
      <c r="I25" s="1" t="s">
        <v>16</v>
      </c>
      <c r="J25" s="1" t="s">
        <v>150</v>
      </c>
      <c r="K25" s="1" t="s">
        <v>151</v>
      </c>
      <c r="L25" s="29" t="s">
        <v>152</v>
      </c>
      <c r="M25" s="29" t="s">
        <v>153</v>
      </c>
      <c r="N25" s="29"/>
      <c r="O25" s="21">
        <v>0.93</v>
      </c>
      <c r="P25" s="26"/>
      <c r="Q25" s="4">
        <v>30</v>
      </c>
      <c r="R25" s="23">
        <f>_xlfn.XLOOKUP(B25,[2]Report!$P:$P,[2]Report!$S:$S)</f>
        <v>0.42857142857142855</v>
      </c>
      <c r="S25" s="1">
        <v>60</v>
      </c>
      <c r="T25" s="1">
        <v>100</v>
      </c>
      <c r="U25" s="1">
        <v>100</v>
      </c>
      <c r="V25" s="1">
        <f t="shared" si="1"/>
        <v>83</v>
      </c>
      <c r="W25" s="1">
        <f t="shared" si="2"/>
        <v>83</v>
      </c>
      <c r="X25" s="27" t="str">
        <f t="shared" si="0"/>
        <v>A-</v>
      </c>
    </row>
    <row r="26" spans="1:24" x14ac:dyDescent="0.35">
      <c r="A26" s="1">
        <v>15</v>
      </c>
      <c r="B26" s="1">
        <v>241110625</v>
      </c>
      <c r="C26" s="29" t="s">
        <v>154</v>
      </c>
      <c r="D26" s="1" t="s">
        <v>155</v>
      </c>
      <c r="E26" s="1" t="s">
        <v>156</v>
      </c>
      <c r="F26" s="2" cm="1">
        <f t="array" ref="F26">_xlfn.IFNA(_xlfn.XLOOKUP(B26,'[1]test calc nilai mentah'!$B:$B,'[1]test calc nilai mentah'!$E:$E),null)</f>
        <v>84</v>
      </c>
      <c r="G26" s="2" cm="1">
        <f t="array" ref="G26">_xlfn.IFNA(_xlfn.XLOOKUP(B26,'[1]test calc nilai mentah'!$B:$B,'[1]test calc nilai mentah'!$F:$F),null)</f>
        <v>80</v>
      </c>
      <c r="H26" s="20" t="s">
        <v>157</v>
      </c>
      <c r="I26" s="1" t="s">
        <v>16</v>
      </c>
      <c r="J26" s="1" t="s">
        <v>158</v>
      </c>
      <c r="K26" s="1" t="s">
        <v>159</v>
      </c>
      <c r="L26" s="1" t="s">
        <v>160</v>
      </c>
      <c r="M26" s="1" t="s">
        <v>161</v>
      </c>
      <c r="O26" s="21">
        <v>0.93</v>
      </c>
      <c r="P26" s="26"/>
      <c r="Q26" s="4">
        <v>86</v>
      </c>
      <c r="R26" s="23">
        <f>_xlfn.XLOOKUP(B26,[2]Report!$P:$P,[2]Report!$S:$S)</f>
        <v>0.8571428571428571</v>
      </c>
      <c r="S26" s="1">
        <v>90</v>
      </c>
      <c r="T26" s="1">
        <v>92</v>
      </c>
      <c r="U26" s="1">
        <v>100</v>
      </c>
      <c r="V26" s="1">
        <f t="shared" si="1"/>
        <v>87.2</v>
      </c>
      <c r="W26" s="1">
        <f t="shared" si="2"/>
        <v>88</v>
      </c>
      <c r="X26" s="27" t="str">
        <f t="shared" si="0"/>
        <v>A</v>
      </c>
    </row>
    <row r="27" spans="1:24" x14ac:dyDescent="0.35">
      <c r="A27" s="1">
        <v>16</v>
      </c>
      <c r="B27" s="1">
        <v>241110684</v>
      </c>
      <c r="C27" s="1" t="s">
        <v>162</v>
      </c>
      <c r="D27" s="1" t="s">
        <v>163</v>
      </c>
      <c r="E27" s="1" t="s">
        <v>164</v>
      </c>
      <c r="F27" s="2" cm="1">
        <f t="array" ref="F27">_xlfn.IFNA(_xlfn.XLOOKUP(B27,'[1]test calc nilai mentah'!$B:$B,'[1]test calc nilai mentah'!$E:$E),null)</f>
        <v>88</v>
      </c>
      <c r="G27" s="2" cm="1">
        <f t="array" ref="G27">_xlfn.IFNA(_xlfn.XLOOKUP(B27,'[1]test calc nilai mentah'!$B:$B,'[1]test calc nilai mentah'!$F:$F),null)</f>
        <v>80</v>
      </c>
      <c r="H27" s="25" t="s">
        <v>165</v>
      </c>
      <c r="I27" s="1" t="s">
        <v>16</v>
      </c>
      <c r="J27" s="1" t="s">
        <v>166</v>
      </c>
      <c r="K27" s="1" t="s">
        <v>167</v>
      </c>
      <c r="L27" s="1" t="s">
        <v>168</v>
      </c>
      <c r="M27" s="1" t="s">
        <v>169</v>
      </c>
      <c r="O27" s="21">
        <v>0.93</v>
      </c>
      <c r="P27" s="26"/>
      <c r="Q27" s="4">
        <v>44</v>
      </c>
      <c r="R27" s="23">
        <f>_xlfn.XLOOKUP(B27,[2]Report!$P:$P,[2]Report!$S:$S)</f>
        <v>0.5714285714285714</v>
      </c>
      <c r="S27" s="1">
        <v>80</v>
      </c>
      <c r="T27" s="1">
        <v>66</v>
      </c>
      <c r="U27" s="1">
        <v>100</v>
      </c>
      <c r="V27" s="1">
        <f t="shared" si="1"/>
        <v>77.5</v>
      </c>
      <c r="W27" s="1">
        <f t="shared" si="2"/>
        <v>78</v>
      </c>
      <c r="X27" s="27" t="str">
        <f t="shared" si="0"/>
        <v>B+</v>
      </c>
    </row>
    <row r="28" spans="1:24" x14ac:dyDescent="0.35">
      <c r="A28" s="1">
        <v>17</v>
      </c>
      <c r="B28" s="1">
        <v>241110764</v>
      </c>
      <c r="C28" s="1" t="s">
        <v>170</v>
      </c>
      <c r="D28" s="1" t="s">
        <v>171</v>
      </c>
      <c r="E28" s="1" t="s">
        <v>172</v>
      </c>
      <c r="F28" s="2" cm="1">
        <f t="array" ref="F28">_xlfn.IFNA(_xlfn.XLOOKUP(B28,'[1]test calc nilai mentah'!$B:$B,'[1]test calc nilai mentah'!$E:$E),null)</f>
        <v>85</v>
      </c>
      <c r="G28" s="2" cm="1">
        <f t="array" ref="G28">_xlfn.IFNA(_xlfn.XLOOKUP(B28,'[1]test calc nilai mentah'!$B:$B,'[1]test calc nilai mentah'!$F:$F),null)</f>
        <v>82</v>
      </c>
      <c r="H28" s="20" t="s">
        <v>173</v>
      </c>
      <c r="I28" s="1" t="s">
        <v>16</v>
      </c>
      <c r="J28" s="1" t="s">
        <v>174</v>
      </c>
      <c r="K28" s="1" t="s">
        <v>175</v>
      </c>
      <c r="L28" s="1" t="s">
        <v>176</v>
      </c>
      <c r="M28" s="1" t="s">
        <v>177</v>
      </c>
      <c r="O28" s="21">
        <v>0.93</v>
      </c>
      <c r="P28" s="26"/>
      <c r="Q28" s="4">
        <v>45</v>
      </c>
      <c r="R28" s="23">
        <f>_xlfn.XLOOKUP(B28,[2]Report!$P:$P,[2]Report!$S:$S)</f>
        <v>0.7142857142857143</v>
      </c>
      <c r="S28" s="1">
        <v>60</v>
      </c>
      <c r="T28" s="1">
        <v>100</v>
      </c>
      <c r="U28" s="1">
        <v>100</v>
      </c>
      <c r="V28" s="1">
        <f t="shared" si="1"/>
        <v>81.5</v>
      </c>
      <c r="W28" s="1">
        <f t="shared" si="2"/>
        <v>82</v>
      </c>
      <c r="X28" s="27" t="str">
        <f t="shared" si="0"/>
        <v>A-</v>
      </c>
    </row>
    <row r="29" spans="1:24" x14ac:dyDescent="0.35">
      <c r="A29" s="1">
        <v>18</v>
      </c>
      <c r="B29" s="1">
        <v>241110791</v>
      </c>
      <c r="C29" s="1" t="s">
        <v>178</v>
      </c>
      <c r="D29" s="1" t="s">
        <v>179</v>
      </c>
      <c r="E29" s="1" t="s">
        <v>180</v>
      </c>
      <c r="F29" s="2" cm="1">
        <f t="array" ref="F29">_xlfn.IFNA(_xlfn.XLOOKUP(B29,'[1]test calc nilai mentah'!$B:$B,'[1]test calc nilai mentah'!$E:$E),null)</f>
        <v>84</v>
      </c>
      <c r="G29" s="2" cm="1">
        <f t="array" ref="G29">_xlfn.IFNA(_xlfn.XLOOKUP(B29,'[1]test calc nilai mentah'!$B:$B,'[1]test calc nilai mentah'!$F:$F),null)</f>
        <v>85</v>
      </c>
      <c r="H29" s="20" t="s">
        <v>181</v>
      </c>
      <c r="I29" s="1" t="s">
        <v>16</v>
      </c>
      <c r="J29" s="1" t="s">
        <v>182</v>
      </c>
      <c r="K29" s="1" t="s">
        <v>183</v>
      </c>
      <c r="L29" s="1" t="s">
        <v>184</v>
      </c>
      <c r="M29" s="1" t="s">
        <v>185</v>
      </c>
      <c r="O29" s="21">
        <v>0.93</v>
      </c>
      <c r="P29" s="26"/>
      <c r="Q29" s="4">
        <v>10</v>
      </c>
      <c r="R29" s="23">
        <v>0</v>
      </c>
      <c r="S29" s="1">
        <v>90</v>
      </c>
      <c r="T29" s="1">
        <v>90</v>
      </c>
      <c r="U29" s="1">
        <v>100</v>
      </c>
      <c r="V29" s="1">
        <f t="shared" si="1"/>
        <v>76.75</v>
      </c>
      <c r="W29" s="1">
        <f t="shared" si="2"/>
        <v>77</v>
      </c>
      <c r="X29" s="27" t="str">
        <f t="shared" si="0"/>
        <v>B+</v>
      </c>
    </row>
    <row r="30" spans="1:24" x14ac:dyDescent="0.35">
      <c r="A30" s="1">
        <v>19</v>
      </c>
      <c r="B30" s="1">
        <v>241110810</v>
      </c>
      <c r="C30" s="1" t="s">
        <v>186</v>
      </c>
      <c r="D30" s="1" t="s">
        <v>187</v>
      </c>
      <c r="E30" s="1" t="s">
        <v>188</v>
      </c>
      <c r="F30" s="2" cm="1">
        <f t="array" ref="F30">_xlfn.IFNA(_xlfn.XLOOKUP(B30,'[1]test calc nilai mentah'!$B:$B,'[1]test calc nilai mentah'!$E:$E),null)</f>
        <v>96</v>
      </c>
      <c r="G30" s="2" cm="1">
        <f t="array" ref="G30">_xlfn.IFNA(_xlfn.XLOOKUP(B30,'[1]test calc nilai mentah'!$B:$B,'[1]test calc nilai mentah'!$F:$F),null)</f>
        <v>95</v>
      </c>
      <c r="H30" s="20" t="s">
        <v>189</v>
      </c>
      <c r="I30" s="1" t="s">
        <v>16</v>
      </c>
      <c r="J30" s="1" t="s">
        <v>190</v>
      </c>
      <c r="K30" s="1" t="s">
        <v>191</v>
      </c>
      <c r="L30" s="1" t="s">
        <v>192</v>
      </c>
      <c r="M30" s="1" t="s">
        <v>193</v>
      </c>
      <c r="O30" s="21">
        <v>1</v>
      </c>
      <c r="P30" s="26"/>
      <c r="Q30" s="4">
        <v>91</v>
      </c>
      <c r="R30" s="23">
        <f>_xlfn.XLOOKUP(B30,[2]Report!$P:$P,[2]Report!$S:$S)</f>
        <v>1</v>
      </c>
      <c r="S30" s="1">
        <v>100</v>
      </c>
      <c r="T30" s="1">
        <v>98</v>
      </c>
      <c r="U30" s="1">
        <v>100</v>
      </c>
      <c r="V30" s="1">
        <f t="shared" si="1"/>
        <v>96.100000000000009</v>
      </c>
      <c r="W30" s="1">
        <f t="shared" si="2"/>
        <v>97</v>
      </c>
      <c r="X30" s="27" t="str">
        <f t="shared" si="0"/>
        <v>A</v>
      </c>
    </row>
    <row r="31" spans="1:24" x14ac:dyDescent="0.35">
      <c r="A31" s="1">
        <v>20</v>
      </c>
      <c r="B31" s="1">
        <v>241110826</v>
      </c>
      <c r="C31" s="1" t="s">
        <v>194</v>
      </c>
      <c r="D31" s="1" t="s">
        <v>195</v>
      </c>
      <c r="E31" s="1" t="s">
        <v>196</v>
      </c>
      <c r="F31" s="2" cm="1">
        <f t="array" ref="F31">_xlfn.IFNA(_xlfn.XLOOKUP(B31,'[1]test calc nilai mentah'!$B:$B,'[1]test calc nilai mentah'!$E:$E),null)</f>
        <v>84</v>
      </c>
      <c r="G31" s="2" cm="1">
        <f t="array" ref="G31">_xlfn.IFNA(_xlfn.XLOOKUP(B31,'[1]test calc nilai mentah'!$B:$B,'[1]test calc nilai mentah'!$F:$F),null)</f>
        <v>85</v>
      </c>
      <c r="H31" s="20" t="s">
        <v>78</v>
      </c>
      <c r="I31" s="1" t="s">
        <v>16</v>
      </c>
      <c r="J31" s="29" t="s">
        <v>197</v>
      </c>
      <c r="K31" s="1" t="s">
        <v>198</v>
      </c>
      <c r="L31" s="1" t="s">
        <v>199</v>
      </c>
      <c r="M31" s="1" t="s">
        <v>200</v>
      </c>
      <c r="O31" s="21">
        <v>0.87</v>
      </c>
      <c r="P31" s="26"/>
      <c r="Q31" s="4">
        <v>14.3</v>
      </c>
      <c r="R31" s="23">
        <f>_xlfn.XLOOKUP(B31,[2]Report!$P:$P,[2]Report!$S:$S)</f>
        <v>0.14285714285714285</v>
      </c>
      <c r="S31" s="1">
        <v>60</v>
      </c>
      <c r="T31" s="1">
        <v>100</v>
      </c>
      <c r="U31" s="1">
        <v>100</v>
      </c>
      <c r="V31" s="1">
        <f t="shared" si="1"/>
        <v>77.39500000000001</v>
      </c>
      <c r="W31" s="1">
        <f t="shared" si="2"/>
        <v>78</v>
      </c>
      <c r="X31" s="27" t="str">
        <f t="shared" si="0"/>
        <v>B+</v>
      </c>
    </row>
    <row r="32" spans="1:24" x14ac:dyDescent="0.35">
      <c r="A32" s="1">
        <v>21</v>
      </c>
      <c r="B32" s="1">
        <v>241110868</v>
      </c>
      <c r="C32" s="1" t="s">
        <v>201</v>
      </c>
      <c r="D32" s="1" t="s">
        <v>202</v>
      </c>
      <c r="E32" s="1" t="s">
        <v>203</v>
      </c>
      <c r="F32" s="2" cm="1">
        <f t="array" ref="F32">_xlfn.IFNA(_xlfn.XLOOKUP(B32,'[1]test calc nilai mentah'!$B:$B,'[1]test calc nilai mentah'!$E:$E),null)</f>
        <v>95</v>
      </c>
      <c r="G32" s="2" cm="1">
        <f t="array" ref="G32">_xlfn.IFNA(_xlfn.XLOOKUP(B32,'[1]test calc nilai mentah'!$B:$B,'[1]test calc nilai mentah'!$F:$F),null)</f>
        <v>88</v>
      </c>
      <c r="H32" s="20" t="s">
        <v>157</v>
      </c>
      <c r="I32" s="1" t="s">
        <v>16</v>
      </c>
      <c r="J32" s="1" t="s">
        <v>204</v>
      </c>
      <c r="K32" s="1" t="s">
        <v>205</v>
      </c>
      <c r="L32" s="1" t="s">
        <v>206</v>
      </c>
      <c r="M32" s="1" t="s">
        <v>74</v>
      </c>
      <c r="O32" s="21">
        <v>0.93</v>
      </c>
      <c r="P32" s="22">
        <v>1</v>
      </c>
      <c r="Q32" s="4">
        <v>100</v>
      </c>
      <c r="R32" s="23">
        <f>_xlfn.XLOOKUP(B32,[2]Report!$P:$P,[2]Report!$S:$S)</f>
        <v>1</v>
      </c>
      <c r="S32" s="1">
        <v>90</v>
      </c>
      <c r="T32" s="1">
        <v>100</v>
      </c>
      <c r="U32" s="1">
        <v>100</v>
      </c>
      <c r="V32" s="1">
        <f t="shared" si="1"/>
        <v>95.25</v>
      </c>
      <c r="W32" s="1">
        <f t="shared" si="2"/>
        <v>96</v>
      </c>
      <c r="X32" s="27" t="str">
        <f t="shared" si="0"/>
        <v>A</v>
      </c>
    </row>
    <row r="33" spans="1:24" x14ac:dyDescent="0.35">
      <c r="A33" s="1">
        <v>22</v>
      </c>
      <c r="B33" s="1">
        <v>241110908</v>
      </c>
      <c r="C33" s="1" t="s">
        <v>207</v>
      </c>
      <c r="D33" s="1" t="s">
        <v>208</v>
      </c>
      <c r="E33" s="1" t="s">
        <v>209</v>
      </c>
      <c r="F33" s="2" cm="1">
        <f t="array" ref="F33">_xlfn.IFNA(_xlfn.XLOOKUP(B33,'[1]test calc nilai mentah'!$B:$B,'[1]test calc nilai mentah'!$E:$E),null)</f>
        <v>84</v>
      </c>
      <c r="G33" s="2" cm="1">
        <f t="array" ref="G33">_xlfn.IFNA(_xlfn.XLOOKUP(B33,'[1]test calc nilai mentah'!$B:$B,'[1]test calc nilai mentah'!$F:$F),null)</f>
        <v>90</v>
      </c>
      <c r="H33" s="20" t="s">
        <v>210</v>
      </c>
      <c r="I33" s="1" t="s">
        <v>16</v>
      </c>
      <c r="J33" s="1" t="s">
        <v>211</v>
      </c>
      <c r="K33" s="1" t="s">
        <v>212</v>
      </c>
      <c r="L33" s="1" t="s">
        <v>213</v>
      </c>
      <c r="M33" s="1" t="s">
        <v>214</v>
      </c>
      <c r="O33" s="21">
        <v>1</v>
      </c>
      <c r="P33" s="22">
        <v>3.5</v>
      </c>
      <c r="Q33" s="4">
        <v>62.2</v>
      </c>
      <c r="R33" s="23">
        <f>_xlfn.XLOOKUP(B33,[2]Report!$P:$P,[2]Report!$S:$S)</f>
        <v>0.7142857142857143</v>
      </c>
      <c r="S33" s="1">
        <v>100</v>
      </c>
      <c r="T33" s="1">
        <v>98</v>
      </c>
      <c r="U33" s="1">
        <v>96</v>
      </c>
      <c r="V33" s="1">
        <f t="shared" si="1"/>
        <v>86.93</v>
      </c>
      <c r="W33" s="1">
        <f t="shared" si="2"/>
        <v>87</v>
      </c>
      <c r="X33" s="27" t="str">
        <f t="shared" si="0"/>
        <v>A</v>
      </c>
    </row>
    <row r="34" spans="1:24" x14ac:dyDescent="0.35">
      <c r="A34" s="1">
        <v>23</v>
      </c>
      <c r="B34" s="1">
        <v>241110939</v>
      </c>
      <c r="C34" s="1" t="s">
        <v>215</v>
      </c>
      <c r="D34" s="1" t="s">
        <v>216</v>
      </c>
      <c r="E34" s="1" t="s">
        <v>217</v>
      </c>
      <c r="F34" s="2" cm="1">
        <f t="array" ref="F34">_xlfn.IFNA(_xlfn.XLOOKUP(B34,'[1]test calc nilai mentah'!$B:$B,'[1]test calc nilai mentah'!$E:$E),null)</f>
        <v>95</v>
      </c>
      <c r="G34" s="2" cm="1">
        <f t="array" ref="G34">_xlfn.IFNA(_xlfn.XLOOKUP(B34,'[1]test calc nilai mentah'!$B:$B,'[1]test calc nilai mentah'!$F:$F),null)</f>
        <v>94</v>
      </c>
      <c r="H34" s="20" t="s">
        <v>218</v>
      </c>
      <c r="I34" s="1" t="s">
        <v>16</v>
      </c>
      <c r="J34" s="1" t="s">
        <v>219</v>
      </c>
      <c r="K34" s="1" t="s">
        <v>220</v>
      </c>
      <c r="L34" s="1" t="s">
        <v>221</v>
      </c>
      <c r="M34" s="1" t="s">
        <v>190</v>
      </c>
      <c r="O34" s="31">
        <v>0.8</v>
      </c>
      <c r="P34" s="26"/>
      <c r="Q34" s="4">
        <v>62.2</v>
      </c>
      <c r="R34" s="23">
        <f>_xlfn.XLOOKUP(B34,[2]Report!$P:$P,[2]Report!$S:$S)</f>
        <v>0.7142857142857143</v>
      </c>
      <c r="S34" s="1">
        <v>90</v>
      </c>
      <c r="T34" s="1">
        <v>100</v>
      </c>
      <c r="U34" s="1">
        <v>100</v>
      </c>
      <c r="V34" s="1">
        <f t="shared" si="1"/>
        <v>91.08</v>
      </c>
      <c r="W34" s="1">
        <f t="shared" si="2"/>
        <v>92</v>
      </c>
      <c r="X34" s="27" t="str">
        <f t="shared" si="0"/>
        <v>A</v>
      </c>
    </row>
    <row r="35" spans="1:24" x14ac:dyDescent="0.35">
      <c r="A35" s="1">
        <v>24</v>
      </c>
      <c r="B35" s="1">
        <v>241110982</v>
      </c>
      <c r="C35" s="1" t="s">
        <v>222</v>
      </c>
      <c r="D35" s="1" t="s">
        <v>223</v>
      </c>
      <c r="E35" s="1" t="s">
        <v>224</v>
      </c>
      <c r="F35" s="2" cm="1">
        <f t="array" ref="F35">_xlfn.IFNA(_xlfn.XLOOKUP(B35,'[1]test calc nilai mentah'!$B:$B,'[1]test calc nilai mentah'!$E:$E),null)</f>
        <v>96</v>
      </c>
      <c r="G35" s="2" cm="1">
        <f t="array" ref="G35">_xlfn.IFNA(_xlfn.XLOOKUP(B35,'[1]test calc nilai mentah'!$B:$B,'[1]test calc nilai mentah'!$F:$F),null)</f>
        <v>95</v>
      </c>
      <c r="H35" s="20" t="s">
        <v>225</v>
      </c>
      <c r="I35" s="1" t="s">
        <v>16</v>
      </c>
      <c r="J35" s="1" t="s">
        <v>226</v>
      </c>
      <c r="K35" s="1" t="s">
        <v>227</v>
      </c>
      <c r="L35" s="1" t="s">
        <v>228</v>
      </c>
      <c r="M35" s="1" t="s">
        <v>229</v>
      </c>
      <c r="O35" s="21">
        <v>0.93</v>
      </c>
      <c r="P35" s="26"/>
      <c r="Q35" s="4">
        <v>91</v>
      </c>
      <c r="R35" s="23">
        <f>_xlfn.XLOOKUP(B35,[2]Report!$P:$P,[2]Report!$S:$S)</f>
        <v>1</v>
      </c>
      <c r="S35" s="1">
        <v>80</v>
      </c>
      <c r="T35" s="1">
        <v>100</v>
      </c>
      <c r="U35" s="1">
        <v>100</v>
      </c>
      <c r="V35" s="1">
        <f t="shared" si="1"/>
        <v>95.4</v>
      </c>
      <c r="W35" s="1">
        <f t="shared" si="2"/>
        <v>96</v>
      </c>
      <c r="X35" s="27" t="str">
        <f t="shared" si="0"/>
        <v>A</v>
      </c>
    </row>
    <row r="36" spans="1:24" x14ac:dyDescent="0.35">
      <c r="A36" s="1">
        <v>25</v>
      </c>
      <c r="B36" s="1">
        <v>241111021</v>
      </c>
      <c r="C36" s="1" t="s">
        <v>230</v>
      </c>
      <c r="D36" s="1" t="s">
        <v>231</v>
      </c>
      <c r="E36" s="1" t="s">
        <v>232</v>
      </c>
      <c r="F36" s="2" cm="1">
        <f t="array" ref="F36">_xlfn.IFNA(_xlfn.XLOOKUP(B36,'[1]test calc nilai mentah'!$B:$B,'[1]test calc nilai mentah'!$E:$E),null)</f>
        <v>90</v>
      </c>
      <c r="G36" s="2" cm="1">
        <f t="array" ref="G36">_xlfn.IFNA(_xlfn.XLOOKUP(B36,'[1]test calc nilai mentah'!$B:$B,'[1]test calc nilai mentah'!$F:$F),null)</f>
        <v>80</v>
      </c>
      <c r="H36" s="20" t="s">
        <v>233</v>
      </c>
      <c r="I36" s="1" t="s">
        <v>16</v>
      </c>
      <c r="J36" s="1" t="s">
        <v>63</v>
      </c>
      <c r="K36" s="1" t="s">
        <v>234</v>
      </c>
      <c r="L36" s="29" t="s">
        <v>235</v>
      </c>
      <c r="M36" s="1" t="s">
        <v>169</v>
      </c>
      <c r="O36" s="21">
        <v>1</v>
      </c>
      <c r="P36" s="26"/>
      <c r="Q36" s="4">
        <v>53</v>
      </c>
      <c r="R36" s="23">
        <f>_xlfn.XLOOKUP(B36,[2]Report!$P:$P,[2]Report!$S:$S)</f>
        <v>0.7142857142857143</v>
      </c>
      <c r="S36" s="1">
        <v>90</v>
      </c>
      <c r="T36" s="1">
        <v>98</v>
      </c>
      <c r="U36" s="1">
        <v>100</v>
      </c>
      <c r="V36" s="1">
        <f t="shared" si="1"/>
        <v>84.65</v>
      </c>
      <c r="W36" s="1">
        <f t="shared" si="2"/>
        <v>85</v>
      </c>
      <c r="X36" s="27" t="str">
        <f t="shared" si="0"/>
        <v>A-</v>
      </c>
    </row>
    <row r="37" spans="1:24" x14ac:dyDescent="0.35">
      <c r="A37" s="1">
        <v>26</v>
      </c>
      <c r="B37" s="1">
        <v>241111056</v>
      </c>
      <c r="C37" s="1" t="s">
        <v>236</v>
      </c>
      <c r="D37" s="1" t="s">
        <v>237</v>
      </c>
      <c r="E37" s="1" t="s">
        <v>238</v>
      </c>
      <c r="F37" s="2" cm="1">
        <f t="array" ref="F37">_xlfn.IFNA(_xlfn.XLOOKUP(B37,'[1]test calc nilai mentah'!$B:$B,'[1]test calc nilai mentah'!$E:$E),null)</f>
        <v>96</v>
      </c>
      <c r="G37" s="2" cm="1">
        <f t="array" ref="G37">_xlfn.IFNA(_xlfn.XLOOKUP(B37,'[1]test calc nilai mentah'!$B:$B,'[1]test calc nilai mentah'!$F:$F),null)</f>
        <v>95</v>
      </c>
      <c r="H37" s="20" t="s">
        <v>239</v>
      </c>
      <c r="I37" s="1" t="s">
        <v>16</v>
      </c>
      <c r="J37" s="1" t="s">
        <v>240</v>
      </c>
      <c r="K37" s="1" t="s">
        <v>241</v>
      </c>
      <c r="L37" s="1" t="s">
        <v>242</v>
      </c>
      <c r="M37" s="1" t="s">
        <v>243</v>
      </c>
      <c r="O37" s="21">
        <v>1</v>
      </c>
      <c r="P37" s="22">
        <v>2</v>
      </c>
      <c r="Q37" s="4">
        <v>91</v>
      </c>
      <c r="R37" s="23">
        <f>_xlfn.XLOOKUP(B37,[2]Report!$P:$P,[2]Report!$S:$S)</f>
        <v>1</v>
      </c>
      <c r="S37" s="1">
        <v>95</v>
      </c>
      <c r="T37" s="1">
        <v>98</v>
      </c>
      <c r="U37" s="1">
        <v>100</v>
      </c>
      <c r="V37" s="1">
        <f t="shared" si="1"/>
        <v>95.850000000000009</v>
      </c>
      <c r="W37" s="1">
        <f t="shared" si="2"/>
        <v>96</v>
      </c>
      <c r="X37" s="27" t="str">
        <f t="shared" si="0"/>
        <v>A</v>
      </c>
    </row>
    <row r="38" spans="1:24" x14ac:dyDescent="0.35">
      <c r="A38" s="1">
        <v>27</v>
      </c>
      <c r="B38" s="1">
        <v>241111093</v>
      </c>
      <c r="C38" s="1" t="s">
        <v>244</v>
      </c>
      <c r="D38" s="1" t="s">
        <v>245</v>
      </c>
      <c r="E38" s="32" t="s">
        <v>246</v>
      </c>
      <c r="F38" s="2" cm="1">
        <f t="array" ref="F38">_xlfn.IFNA(_xlfn.XLOOKUP(B38,'[1]test calc nilai mentah'!$B:$B,'[1]test calc nilai mentah'!$E:$E),null)</f>
        <v>95</v>
      </c>
      <c r="G38" s="2" cm="1">
        <f t="array" ref="G38">_xlfn.IFNA(_xlfn.XLOOKUP(B38,'[1]test calc nilai mentah'!$B:$B,'[1]test calc nilai mentah'!$F:$F),null)</f>
        <v>94</v>
      </c>
      <c r="H38" s="33"/>
      <c r="I38" s="34"/>
      <c r="J38" s="1" t="s">
        <v>247</v>
      </c>
      <c r="K38" s="1" t="s">
        <v>248</v>
      </c>
      <c r="L38" s="1" t="s">
        <v>249</v>
      </c>
      <c r="M38" s="1" t="s">
        <v>250</v>
      </c>
      <c r="O38" s="21">
        <v>0.87</v>
      </c>
      <c r="P38" s="26"/>
      <c r="Q38" s="4">
        <v>72</v>
      </c>
      <c r="R38" s="23">
        <f>_xlfn.XLOOKUP(B38,[2]Report!$P:$P,[2]Report!$S:$S)</f>
        <v>0.7142857142857143</v>
      </c>
      <c r="S38" s="1">
        <v>90</v>
      </c>
      <c r="T38" s="1">
        <v>98</v>
      </c>
      <c r="U38" s="1">
        <v>100</v>
      </c>
      <c r="V38" s="1">
        <f t="shared" si="1"/>
        <v>92.25</v>
      </c>
      <c r="W38" s="1">
        <f t="shared" si="2"/>
        <v>93</v>
      </c>
      <c r="X38" s="27" t="str">
        <f t="shared" si="0"/>
        <v>A</v>
      </c>
    </row>
    <row r="39" spans="1:24" x14ac:dyDescent="0.35">
      <c r="A39" s="1">
        <v>28</v>
      </c>
      <c r="B39" s="1">
        <v>241111123</v>
      </c>
      <c r="C39" s="1" t="s">
        <v>251</v>
      </c>
      <c r="D39" s="1" t="s">
        <v>252</v>
      </c>
      <c r="E39" s="1" t="s">
        <v>253</v>
      </c>
      <c r="F39" s="2" cm="1">
        <f t="array" ref="F39">_xlfn.IFNA(_xlfn.XLOOKUP(B39,'[1]test calc nilai mentah'!$B:$B,'[1]test calc nilai mentah'!$E:$E),null)</f>
        <v>96</v>
      </c>
      <c r="G39" s="2" cm="1">
        <f t="array" ref="G39">_xlfn.IFNA(_xlfn.XLOOKUP(B39,'[1]test calc nilai mentah'!$B:$B,'[1]test calc nilai mentah'!$F:$F),null)</f>
        <v>90</v>
      </c>
      <c r="H39" s="20" t="s">
        <v>254</v>
      </c>
      <c r="I39" s="1" t="s">
        <v>16</v>
      </c>
      <c r="J39" s="1" t="s">
        <v>255</v>
      </c>
      <c r="K39" s="1" t="s">
        <v>256</v>
      </c>
      <c r="L39" s="1" t="s">
        <v>257</v>
      </c>
      <c r="M39" s="1" t="s">
        <v>185</v>
      </c>
      <c r="O39" s="21">
        <v>1</v>
      </c>
      <c r="P39" s="22">
        <v>1</v>
      </c>
      <c r="Q39" s="4">
        <v>15</v>
      </c>
      <c r="R39" s="23">
        <f>_xlfn.XLOOKUP(B39,[2]Report!$P:$P,[2]Report!$S:$S)</f>
        <v>0.5714285714285714</v>
      </c>
      <c r="S39" s="1">
        <v>100</v>
      </c>
      <c r="T39" s="1">
        <v>96</v>
      </c>
      <c r="U39" s="1">
        <v>100</v>
      </c>
      <c r="V39" s="1">
        <f t="shared" si="1"/>
        <v>83.15</v>
      </c>
      <c r="W39" s="1">
        <f t="shared" si="2"/>
        <v>84</v>
      </c>
      <c r="X39" s="27" t="str">
        <f t="shared" si="0"/>
        <v>A-</v>
      </c>
    </row>
    <row r="40" spans="1:24" x14ac:dyDescent="0.35">
      <c r="A40" s="1">
        <v>29</v>
      </c>
      <c r="B40" s="1">
        <v>241111178</v>
      </c>
      <c r="C40" s="1" t="s">
        <v>258</v>
      </c>
      <c r="D40" s="1" t="s">
        <v>259</v>
      </c>
      <c r="E40" s="1" t="s">
        <v>260</v>
      </c>
      <c r="F40" s="2" cm="1">
        <f t="array" ref="F40">_xlfn.IFNA(_xlfn.XLOOKUP(B40,'[1]test calc nilai mentah'!$B:$B,'[1]test calc nilai mentah'!$E:$E),null)</f>
        <v>84</v>
      </c>
      <c r="G40" s="2" cm="1">
        <f t="array" ref="G40">_xlfn.IFNA(_xlfn.XLOOKUP(B40,'[1]test calc nilai mentah'!$B:$B,'[1]test calc nilai mentah'!$F:$F),null)</f>
        <v>85</v>
      </c>
      <c r="H40" s="20" t="s">
        <v>261</v>
      </c>
      <c r="I40" s="1" t="s">
        <v>16</v>
      </c>
      <c r="J40" s="1" t="s">
        <v>262</v>
      </c>
      <c r="K40" s="1" t="s">
        <v>263</v>
      </c>
      <c r="L40" s="1" t="s">
        <v>264</v>
      </c>
      <c r="M40" s="1" t="s">
        <v>265</v>
      </c>
      <c r="O40" s="21">
        <v>1</v>
      </c>
      <c r="P40" s="26"/>
      <c r="Q40" s="4">
        <v>77</v>
      </c>
      <c r="R40" s="23">
        <f>_xlfn.XLOOKUP(B40,[2]Report!$P:$P,[2]Report!$S:$S)</f>
        <v>0.8571428571428571</v>
      </c>
      <c r="S40" s="1">
        <v>90</v>
      </c>
      <c r="T40" s="1">
        <v>84</v>
      </c>
      <c r="U40" s="1">
        <v>100</v>
      </c>
      <c r="V40" s="1">
        <f t="shared" si="1"/>
        <v>85.899999999999991</v>
      </c>
      <c r="W40" s="1">
        <f t="shared" si="2"/>
        <v>86</v>
      </c>
      <c r="X40" s="27" t="str">
        <f t="shared" si="0"/>
        <v>A</v>
      </c>
    </row>
    <row r="41" spans="1:24" x14ac:dyDescent="0.35">
      <c r="A41" s="1">
        <v>30</v>
      </c>
      <c r="B41" s="1">
        <v>241111300</v>
      </c>
      <c r="C41" s="1" t="s">
        <v>266</v>
      </c>
      <c r="D41" s="1" t="s">
        <v>267</v>
      </c>
      <c r="E41" s="1" t="s">
        <v>268</v>
      </c>
      <c r="F41" s="2" cm="1">
        <f t="array" ref="F41">_xlfn.IFNA(_xlfn.XLOOKUP(B41,'[1]test calc nilai mentah'!$B:$B,'[1]test calc nilai mentah'!$E:$E),null)</f>
        <v>85</v>
      </c>
      <c r="G41" s="2" cm="1">
        <f t="array" ref="G41">_xlfn.IFNA(_xlfn.XLOOKUP(B41,'[1]test calc nilai mentah'!$B:$B,'[1]test calc nilai mentah'!$F:$F),null)</f>
        <v>82</v>
      </c>
      <c r="H41" s="20" t="s">
        <v>269</v>
      </c>
      <c r="I41" s="1" t="s">
        <v>16</v>
      </c>
      <c r="J41" s="1" t="s">
        <v>270</v>
      </c>
      <c r="K41" s="1" t="s">
        <v>271</v>
      </c>
      <c r="L41" s="1" t="s">
        <v>272</v>
      </c>
      <c r="M41" s="1" t="s">
        <v>273</v>
      </c>
      <c r="O41" s="21">
        <v>0.93</v>
      </c>
      <c r="P41" s="26"/>
      <c r="Q41" s="4">
        <v>100</v>
      </c>
      <c r="R41" s="23">
        <f>_xlfn.XLOOKUP(B41,[2]Report!$P:$P,[2]Report!$S:$S)</f>
        <v>1</v>
      </c>
      <c r="S41" s="1">
        <v>90</v>
      </c>
      <c r="T41" s="1">
        <v>100</v>
      </c>
      <c r="U41" s="1">
        <v>92</v>
      </c>
      <c r="V41" s="1">
        <f t="shared" si="1"/>
        <v>90.05</v>
      </c>
      <c r="W41" s="1">
        <f t="shared" si="2"/>
        <v>91</v>
      </c>
      <c r="X41" s="27" t="str">
        <f t="shared" si="0"/>
        <v>A</v>
      </c>
    </row>
    <row r="42" spans="1:24" x14ac:dyDescent="0.35">
      <c r="A42" s="1">
        <v>31</v>
      </c>
      <c r="B42" s="1">
        <v>241111355</v>
      </c>
      <c r="C42" s="1" t="s">
        <v>274</v>
      </c>
      <c r="D42" s="1" t="s">
        <v>275</v>
      </c>
      <c r="E42" s="35" t="s">
        <v>276</v>
      </c>
      <c r="F42" s="2" cm="1">
        <f t="array" ref="F42">_xlfn.IFNA(_xlfn.XLOOKUP(B42,'[1]test calc nilai mentah'!$B:$B,'[1]test calc nilai mentah'!$E:$E),null)</f>
        <v>84</v>
      </c>
      <c r="G42" s="2" cm="1">
        <f t="array" ref="G42">_xlfn.IFNA(_xlfn.XLOOKUP(B42,'[1]test calc nilai mentah'!$B:$B,'[1]test calc nilai mentah'!$F:$F),null)</f>
        <v>85</v>
      </c>
      <c r="H42" s="33"/>
      <c r="I42" s="34"/>
      <c r="J42" s="1" t="s">
        <v>277</v>
      </c>
      <c r="K42" s="1" t="s">
        <v>278</v>
      </c>
      <c r="L42" s="1" t="s">
        <v>279</v>
      </c>
      <c r="M42" s="1" t="s">
        <v>280</v>
      </c>
      <c r="O42" s="31">
        <v>0.8</v>
      </c>
      <c r="P42" s="26"/>
      <c r="Q42" s="4">
        <v>53</v>
      </c>
      <c r="R42" s="23">
        <f>_xlfn.XLOOKUP(B42,[2]Report!$P:$P,[2]Report!$S:$S)</f>
        <v>0.7142857142857143</v>
      </c>
      <c r="S42" s="1">
        <v>90</v>
      </c>
      <c r="T42" s="1">
        <v>100</v>
      </c>
      <c r="U42" s="1">
        <v>100</v>
      </c>
      <c r="V42" s="1">
        <f t="shared" si="1"/>
        <v>84.7</v>
      </c>
      <c r="W42" s="1">
        <f t="shared" si="2"/>
        <v>85</v>
      </c>
      <c r="X42" s="27" t="str">
        <f t="shared" si="0"/>
        <v>A-</v>
      </c>
    </row>
    <row r="43" spans="1:24" x14ac:dyDescent="0.35">
      <c r="A43" s="1">
        <v>32</v>
      </c>
      <c r="B43" s="1">
        <v>241111446</v>
      </c>
      <c r="C43" s="1" t="s">
        <v>281</v>
      </c>
      <c r="D43" s="1" t="s">
        <v>282</v>
      </c>
      <c r="E43" s="1" t="s">
        <v>283</v>
      </c>
      <c r="F43" s="2" cm="1">
        <f t="array" ref="F43">_xlfn.IFNA(_xlfn.XLOOKUP(B43,'[1]test calc nilai mentah'!$B:$B,'[1]test calc nilai mentah'!$E:$E),null)</f>
        <v>84</v>
      </c>
      <c r="G43" s="2" cm="1">
        <f t="array" ref="G43">_xlfn.IFNA(_xlfn.XLOOKUP(B43,'[1]test calc nilai mentah'!$B:$B,'[1]test calc nilai mentah'!$F:$F),null)</f>
        <v>90</v>
      </c>
      <c r="H43" s="20" t="s">
        <v>284</v>
      </c>
      <c r="I43" s="1" t="s">
        <v>16</v>
      </c>
      <c r="J43" s="29" t="s">
        <v>285</v>
      </c>
      <c r="K43" s="29" t="s">
        <v>286</v>
      </c>
      <c r="L43" s="29" t="s">
        <v>247</v>
      </c>
      <c r="M43" s="29" t="s">
        <v>287</v>
      </c>
      <c r="N43" s="29"/>
      <c r="O43" s="21">
        <v>1</v>
      </c>
      <c r="P43" s="26"/>
      <c r="Q43" s="4">
        <v>30</v>
      </c>
      <c r="R43" s="23">
        <f>_xlfn.XLOOKUP(B43,[2]Report!$P:$P,[2]Report!$S:$S)</f>
        <v>0.5714285714285714</v>
      </c>
      <c r="S43" s="1">
        <v>100</v>
      </c>
      <c r="T43" s="1">
        <v>98</v>
      </c>
      <c r="U43" s="1">
        <v>96</v>
      </c>
      <c r="V43" s="1">
        <f t="shared" si="1"/>
        <v>82.1</v>
      </c>
      <c r="W43" s="1">
        <f t="shared" si="2"/>
        <v>83</v>
      </c>
      <c r="X43" s="27" t="str">
        <f t="shared" si="0"/>
        <v>A-</v>
      </c>
    </row>
    <row r="44" spans="1:24" x14ac:dyDescent="0.35">
      <c r="A44" s="1">
        <v>33</v>
      </c>
      <c r="B44" s="1">
        <v>241111583</v>
      </c>
      <c r="C44" s="1" t="s">
        <v>288</v>
      </c>
      <c r="D44" s="1" t="s">
        <v>289</v>
      </c>
      <c r="E44" s="1" t="s">
        <v>290</v>
      </c>
      <c r="F44" s="2" cm="1">
        <f t="array" ref="F44">_xlfn.IFNA(_xlfn.XLOOKUP(B44,'[1]test calc nilai mentah'!$B:$B,'[1]test calc nilai mentah'!$E:$E),null)</f>
        <v>96</v>
      </c>
      <c r="G44" s="2" cm="1">
        <f t="array" ref="G44">_xlfn.IFNA(_xlfn.XLOOKUP(B44,'[1]test calc nilai mentah'!$B:$B,'[1]test calc nilai mentah'!$F:$F),null)</f>
        <v>90</v>
      </c>
      <c r="H44" s="20" t="s">
        <v>291</v>
      </c>
      <c r="I44" s="1" t="s">
        <v>16</v>
      </c>
      <c r="J44" s="1" t="s">
        <v>63</v>
      </c>
      <c r="K44" s="1" t="s">
        <v>292</v>
      </c>
      <c r="L44" s="29" t="s">
        <v>293</v>
      </c>
      <c r="M44" s="29" t="s">
        <v>294</v>
      </c>
      <c r="N44" s="29"/>
      <c r="O44" s="21">
        <v>1</v>
      </c>
      <c r="P44" s="22">
        <v>6</v>
      </c>
      <c r="Q44" s="4">
        <v>100</v>
      </c>
      <c r="R44" s="23">
        <f>_xlfn.XLOOKUP(B44,[2]Report!$P:$P,[2]Report!$S:$S)</f>
        <v>1</v>
      </c>
      <c r="S44" s="1">
        <v>100</v>
      </c>
      <c r="T44" s="1">
        <v>100</v>
      </c>
      <c r="U44" s="1">
        <v>100</v>
      </c>
      <c r="V44" s="1">
        <f t="shared" si="1"/>
        <v>96.5</v>
      </c>
      <c r="W44" s="1">
        <f t="shared" si="2"/>
        <v>97</v>
      </c>
      <c r="X44" s="27" t="str">
        <f t="shared" si="0"/>
        <v>A</v>
      </c>
    </row>
    <row r="45" spans="1:24" x14ac:dyDescent="0.35">
      <c r="A45" s="1">
        <v>34</v>
      </c>
      <c r="B45" s="1">
        <v>241111649</v>
      </c>
      <c r="C45" s="1" t="s">
        <v>295</v>
      </c>
      <c r="D45" s="1" t="s">
        <v>296</v>
      </c>
      <c r="E45" s="1" t="s">
        <v>297</v>
      </c>
      <c r="F45" s="2" cm="1">
        <f t="array" ref="F45">_xlfn.IFNA(_xlfn.XLOOKUP(B45,'[1]test calc nilai mentah'!$B:$B,'[1]test calc nilai mentah'!$E:$E),null)</f>
        <v>85</v>
      </c>
      <c r="G45" s="2" cm="1">
        <f t="array" ref="G45">_xlfn.IFNA(_xlfn.XLOOKUP(B45,'[1]test calc nilai mentah'!$B:$B,'[1]test calc nilai mentah'!$F:$F),null)</f>
        <v>82</v>
      </c>
      <c r="H45" s="20" t="s">
        <v>298</v>
      </c>
      <c r="I45" s="1" t="s">
        <v>16</v>
      </c>
      <c r="J45" s="1" t="s">
        <v>299</v>
      </c>
      <c r="K45" s="1" t="s">
        <v>300</v>
      </c>
      <c r="L45" s="1" t="s">
        <v>301</v>
      </c>
      <c r="M45" s="1" t="s">
        <v>302</v>
      </c>
      <c r="O45" s="21">
        <v>0.93</v>
      </c>
      <c r="P45" s="26"/>
      <c r="Q45" s="4">
        <v>58</v>
      </c>
      <c r="R45" s="23">
        <f>_xlfn.XLOOKUP(B45,[2]Report!$P:$P,[2]Report!$S:$S)</f>
        <v>0.8571428571428571</v>
      </c>
      <c r="S45" s="1">
        <v>90</v>
      </c>
      <c r="T45" s="1">
        <v>88</v>
      </c>
      <c r="U45" s="1">
        <v>92</v>
      </c>
      <c r="V45" s="1">
        <f t="shared" si="1"/>
        <v>81.95</v>
      </c>
      <c r="W45" s="1">
        <f t="shared" si="2"/>
        <v>82</v>
      </c>
      <c r="X45" s="27" t="str">
        <f t="shared" si="0"/>
        <v>A-</v>
      </c>
    </row>
    <row r="46" spans="1:24" x14ac:dyDescent="0.35">
      <c r="A46" s="1">
        <v>35</v>
      </c>
      <c r="B46" s="1">
        <v>241111704</v>
      </c>
      <c r="C46" s="1" t="s">
        <v>303</v>
      </c>
      <c r="D46" s="1" t="s">
        <v>304</v>
      </c>
      <c r="E46" s="1" t="s">
        <v>305</v>
      </c>
      <c r="F46" s="2" cm="1">
        <f t="array" ref="F46">_xlfn.IFNA(_xlfn.XLOOKUP(B46,'[1]test calc nilai mentah'!$B:$B,'[1]test calc nilai mentah'!$E:$E),null)</f>
        <v>88</v>
      </c>
      <c r="G46" s="2" cm="1">
        <f t="array" ref="G46">_xlfn.IFNA(_xlfn.XLOOKUP(B46,'[1]test calc nilai mentah'!$B:$B,'[1]test calc nilai mentah'!$F:$F),null)</f>
        <v>80</v>
      </c>
      <c r="H46" s="25" t="s">
        <v>306</v>
      </c>
      <c r="I46" s="1" t="s">
        <v>16</v>
      </c>
      <c r="J46" s="1" t="s">
        <v>307</v>
      </c>
      <c r="K46" s="1" t="s">
        <v>308</v>
      </c>
      <c r="L46" s="29" t="s">
        <v>309</v>
      </c>
      <c r="M46" s="29" t="s">
        <v>310</v>
      </c>
      <c r="N46" s="29"/>
      <c r="O46" s="21">
        <v>0.8</v>
      </c>
      <c r="P46" s="26"/>
      <c r="Q46" s="4">
        <v>5</v>
      </c>
      <c r="R46" s="23">
        <f>_xlfn.XLOOKUP(B46,[2]Report!$P:$P,[2]Report!$S:$S)</f>
        <v>0.14285714285714285</v>
      </c>
      <c r="S46" s="1">
        <v>60</v>
      </c>
      <c r="T46" s="1">
        <v>100</v>
      </c>
      <c r="U46" s="1">
        <v>100</v>
      </c>
      <c r="V46" s="1">
        <f t="shared" si="1"/>
        <v>75.75</v>
      </c>
      <c r="W46" s="1">
        <f t="shared" si="2"/>
        <v>76</v>
      </c>
      <c r="X46" s="27" t="str">
        <f t="shared" si="0"/>
        <v>B+</v>
      </c>
    </row>
    <row r="47" spans="1:24" x14ac:dyDescent="0.35">
      <c r="A47" s="1">
        <v>36</v>
      </c>
      <c r="B47" s="1">
        <v>241111802</v>
      </c>
      <c r="C47" s="29" t="s">
        <v>311</v>
      </c>
      <c r="D47" s="1" t="s">
        <v>312</v>
      </c>
      <c r="E47" s="1" t="s">
        <v>313</v>
      </c>
      <c r="F47" s="2" cm="1">
        <f t="array" ref="F47">_xlfn.IFNA(_xlfn.XLOOKUP(B47,'[1]test calc nilai mentah'!$B:$B,'[1]test calc nilai mentah'!$E:$E),null)</f>
        <v>88</v>
      </c>
      <c r="G47" s="2" cm="1">
        <f t="array" ref="G47">_xlfn.IFNA(_xlfn.XLOOKUP(B47,'[1]test calc nilai mentah'!$B:$B,'[1]test calc nilai mentah'!$F:$F),null)</f>
        <v>80</v>
      </c>
      <c r="H47" s="25" t="s">
        <v>314</v>
      </c>
      <c r="I47" s="1" t="s">
        <v>16</v>
      </c>
      <c r="J47" s="29" t="s">
        <v>315</v>
      </c>
      <c r="K47" s="1" t="s">
        <v>316</v>
      </c>
      <c r="L47" s="1" t="s">
        <v>317</v>
      </c>
      <c r="M47" s="1" t="s">
        <v>318</v>
      </c>
      <c r="O47" s="21">
        <v>1</v>
      </c>
      <c r="P47" s="26"/>
      <c r="Q47" s="4">
        <v>19.3</v>
      </c>
      <c r="R47" s="23">
        <f>_xlfn.XLOOKUP(B47,[2]Report!$P:$P,[2]Report!$S:$S)</f>
        <v>0.2857142857142857</v>
      </c>
      <c r="S47" s="1">
        <v>80</v>
      </c>
      <c r="T47" s="1">
        <v>88</v>
      </c>
      <c r="U47" s="1">
        <v>100</v>
      </c>
      <c r="V47" s="1">
        <f t="shared" si="1"/>
        <v>77.094999999999999</v>
      </c>
      <c r="W47" s="1">
        <f t="shared" si="2"/>
        <v>78</v>
      </c>
      <c r="X47" s="27" t="str">
        <f t="shared" si="0"/>
        <v>B+</v>
      </c>
    </row>
    <row r="48" spans="1:24" x14ac:dyDescent="0.35">
      <c r="A48" s="1">
        <v>37</v>
      </c>
      <c r="B48" s="1">
        <v>241111842</v>
      </c>
      <c r="C48" s="1" t="s">
        <v>319</v>
      </c>
      <c r="D48" s="1" t="s">
        <v>320</v>
      </c>
      <c r="E48" s="1" t="s">
        <v>321</v>
      </c>
      <c r="F48" s="2" cm="1">
        <f t="array" ref="F48">_xlfn.IFNA(_xlfn.XLOOKUP(B48,'[1]test calc nilai mentah'!$B:$B,'[1]test calc nilai mentah'!$E:$E),null)</f>
        <v>96</v>
      </c>
      <c r="G48" s="2" cm="1">
        <f t="array" ref="G48">_xlfn.IFNA(_xlfn.XLOOKUP(B48,'[1]test calc nilai mentah'!$B:$B,'[1]test calc nilai mentah'!$F:$F),null)</f>
        <v>90</v>
      </c>
      <c r="H48" s="20" t="s">
        <v>322</v>
      </c>
      <c r="I48" s="1" t="s">
        <v>16</v>
      </c>
      <c r="J48" s="1" t="s">
        <v>323</v>
      </c>
      <c r="K48" s="1" t="s">
        <v>324</v>
      </c>
      <c r="L48" s="1" t="s">
        <v>325</v>
      </c>
      <c r="M48" s="1" t="s">
        <v>250</v>
      </c>
      <c r="O48" s="21">
        <v>1</v>
      </c>
      <c r="P48" s="26"/>
      <c r="Q48" s="4">
        <v>72</v>
      </c>
      <c r="R48" s="23">
        <f>_xlfn.XLOOKUP(B48,[2]Report!$P:$P,[2]Report!$S:$S)</f>
        <v>0.7142857142857143</v>
      </c>
      <c r="S48" s="1">
        <v>90</v>
      </c>
      <c r="T48" s="1">
        <v>94</v>
      </c>
      <c r="U48" s="1">
        <v>100</v>
      </c>
      <c r="V48" s="1">
        <f t="shared" si="1"/>
        <v>90.899999999999991</v>
      </c>
      <c r="W48" s="1">
        <f t="shared" si="2"/>
        <v>91</v>
      </c>
      <c r="X48" s="27" t="str">
        <f t="shared" si="0"/>
        <v>A</v>
      </c>
    </row>
    <row r="49" spans="1:24" x14ac:dyDescent="0.35">
      <c r="A49" s="1">
        <v>38</v>
      </c>
      <c r="B49" s="1">
        <v>241111967</v>
      </c>
      <c r="C49" s="1" t="s">
        <v>326</v>
      </c>
      <c r="D49" s="1" t="s">
        <v>327</v>
      </c>
      <c r="E49" s="1" t="s">
        <v>328</v>
      </c>
      <c r="F49" s="2" cm="1">
        <f t="array" ref="F49">_xlfn.IFNA(_xlfn.XLOOKUP(B49,'[1]test calc nilai mentah'!$B:$B,'[1]test calc nilai mentah'!$E:$E),null)</f>
        <v>96</v>
      </c>
      <c r="G49" s="2" cm="1">
        <f t="array" ref="G49">_xlfn.IFNA(_xlfn.XLOOKUP(B49,'[1]test calc nilai mentah'!$B:$B,'[1]test calc nilai mentah'!$F:$F),null)</f>
        <v>90</v>
      </c>
      <c r="H49" s="20" t="s">
        <v>329</v>
      </c>
      <c r="I49" s="1" t="s">
        <v>16</v>
      </c>
      <c r="J49" s="29" t="s">
        <v>330</v>
      </c>
      <c r="K49" s="1" t="s">
        <v>331</v>
      </c>
      <c r="L49" s="1" t="s">
        <v>332</v>
      </c>
      <c r="M49" s="1" t="s">
        <v>333</v>
      </c>
      <c r="O49" s="21">
        <v>0.93</v>
      </c>
      <c r="P49" s="22">
        <v>1</v>
      </c>
      <c r="Q49" s="4">
        <v>58</v>
      </c>
      <c r="R49" s="23">
        <f>_xlfn.XLOOKUP(B49,[2]Report!$P:$P,[2]Report!$S:$S)</f>
        <v>0.8571428571428571</v>
      </c>
      <c r="S49" s="1">
        <v>90</v>
      </c>
      <c r="T49" s="1">
        <v>98</v>
      </c>
      <c r="U49" s="1">
        <v>100</v>
      </c>
      <c r="V49" s="1">
        <f t="shared" si="1"/>
        <v>89.4</v>
      </c>
      <c r="W49" s="1">
        <f t="shared" si="2"/>
        <v>90</v>
      </c>
      <c r="X49" s="27" t="str">
        <f t="shared" si="0"/>
        <v>A</v>
      </c>
    </row>
    <row r="50" spans="1:24" x14ac:dyDescent="0.35">
      <c r="A50" s="1">
        <v>39</v>
      </c>
      <c r="B50" s="1">
        <v>241112002</v>
      </c>
      <c r="C50" s="30" t="s">
        <v>334</v>
      </c>
      <c r="D50" s="1" t="s">
        <v>335</v>
      </c>
      <c r="E50" s="1" t="s">
        <v>336</v>
      </c>
      <c r="F50" s="2" cm="1">
        <f t="array" ref="F50">_xlfn.IFNA(_xlfn.XLOOKUP(B50,'[1]test calc nilai mentah'!$B:$B,'[1]test calc nilai mentah'!$E:$E),null)</f>
        <v>92</v>
      </c>
      <c r="G50" s="2" cm="1">
        <f t="array" ref="G50">_xlfn.IFNA(_xlfn.XLOOKUP(B50,'[1]test calc nilai mentah'!$B:$B,'[1]test calc nilai mentah'!$F:$F),null)</f>
        <v>85</v>
      </c>
      <c r="H50" s="25" t="s">
        <v>337</v>
      </c>
      <c r="I50" s="1" t="s">
        <v>16</v>
      </c>
      <c r="J50" s="1" t="s">
        <v>338</v>
      </c>
      <c r="K50" s="29" t="s">
        <v>339</v>
      </c>
      <c r="L50" s="34"/>
      <c r="M50" s="34"/>
      <c r="N50" s="34"/>
      <c r="O50" s="21">
        <v>0.67</v>
      </c>
      <c r="P50" s="26"/>
      <c r="Q50" s="4">
        <v>10</v>
      </c>
      <c r="R50" s="23">
        <v>0</v>
      </c>
      <c r="S50" s="1">
        <v>60</v>
      </c>
      <c r="T50" s="34">
        <v>70</v>
      </c>
      <c r="U50" s="1">
        <v>100</v>
      </c>
      <c r="V50" s="1">
        <f t="shared" si="1"/>
        <v>74.25</v>
      </c>
      <c r="W50" s="1">
        <f t="shared" si="2"/>
        <v>75</v>
      </c>
      <c r="X50" s="27" t="str">
        <f t="shared" si="0"/>
        <v>B</v>
      </c>
    </row>
    <row r="51" spans="1:24" x14ac:dyDescent="0.35">
      <c r="A51" s="1">
        <v>40</v>
      </c>
      <c r="B51" s="1">
        <v>241112087</v>
      </c>
      <c r="C51" s="1" t="s">
        <v>340</v>
      </c>
      <c r="D51" s="1" t="s">
        <v>341</v>
      </c>
      <c r="E51" s="1" t="s">
        <v>342</v>
      </c>
      <c r="F51" s="2" cm="1">
        <f t="array" ref="F51">_xlfn.IFNA(_xlfn.XLOOKUP(B51,'[1]test calc nilai mentah'!$B:$B,'[1]test calc nilai mentah'!$E:$E),null)</f>
        <v>90</v>
      </c>
      <c r="G51" s="2" cm="1">
        <f t="array" ref="G51">_xlfn.IFNA(_xlfn.XLOOKUP(B51,'[1]test calc nilai mentah'!$B:$B,'[1]test calc nilai mentah'!$F:$F),null)</f>
        <v>80</v>
      </c>
      <c r="H51" s="20" t="s">
        <v>343</v>
      </c>
      <c r="I51" s="1" t="s">
        <v>16</v>
      </c>
      <c r="J51" s="1" t="s">
        <v>71</v>
      </c>
      <c r="K51" s="1" t="s">
        <v>344</v>
      </c>
      <c r="L51" s="1" t="s">
        <v>345</v>
      </c>
      <c r="M51" s="1" t="s">
        <v>346</v>
      </c>
      <c r="O51" s="21">
        <v>1</v>
      </c>
      <c r="P51" s="26"/>
      <c r="Q51" s="4">
        <v>100</v>
      </c>
      <c r="R51" s="23">
        <f>_xlfn.XLOOKUP(B51,[2]Report!$P:$P,[2]Report!$S:$S)</f>
        <v>1</v>
      </c>
      <c r="S51" s="1">
        <v>100</v>
      </c>
      <c r="T51" s="1">
        <v>100</v>
      </c>
      <c r="U51" s="1">
        <v>100</v>
      </c>
      <c r="V51" s="1">
        <f t="shared" si="1"/>
        <v>92.5</v>
      </c>
      <c r="W51" s="1">
        <f t="shared" si="2"/>
        <v>93</v>
      </c>
      <c r="X51" s="27" t="str">
        <f t="shared" si="0"/>
        <v>A</v>
      </c>
    </row>
    <row r="52" spans="1:24" x14ac:dyDescent="0.35">
      <c r="A52" s="1">
        <v>41</v>
      </c>
      <c r="B52" s="1">
        <v>241112232</v>
      </c>
      <c r="C52" s="1" t="s">
        <v>347</v>
      </c>
      <c r="D52" s="1" t="s">
        <v>348</v>
      </c>
      <c r="E52" s="1" t="s">
        <v>349</v>
      </c>
      <c r="F52" s="2" cm="1">
        <f t="array" ref="F52">_xlfn.IFNA(_xlfn.XLOOKUP(B52,'[1]test calc nilai mentah'!$B:$B,'[1]test calc nilai mentah'!$E:$E),null)</f>
        <v>95</v>
      </c>
      <c r="G52" s="2" cm="1">
        <f t="array" ref="G52">_xlfn.IFNA(_xlfn.XLOOKUP(B52,'[1]test calc nilai mentah'!$B:$B,'[1]test calc nilai mentah'!$F:$F),null)</f>
        <v>88</v>
      </c>
      <c r="H52" s="20" t="s">
        <v>350</v>
      </c>
      <c r="I52" s="1" t="s">
        <v>16</v>
      </c>
      <c r="J52" s="1" t="s">
        <v>255</v>
      </c>
      <c r="K52" s="1" t="s">
        <v>351</v>
      </c>
      <c r="L52" s="1" t="s">
        <v>352</v>
      </c>
      <c r="M52" s="1" t="s">
        <v>353</v>
      </c>
      <c r="O52" s="21">
        <v>1</v>
      </c>
      <c r="P52" s="26"/>
      <c r="Q52" s="4">
        <v>100</v>
      </c>
      <c r="R52" s="23">
        <f>_xlfn.XLOOKUP(B52,[2]Report!$P:$P,[2]Report!$S:$S)</f>
        <v>1</v>
      </c>
      <c r="S52" s="1">
        <v>90</v>
      </c>
      <c r="T52" s="1">
        <v>100</v>
      </c>
      <c r="U52" s="1">
        <v>100</v>
      </c>
      <c r="V52" s="1">
        <f t="shared" si="1"/>
        <v>95.25</v>
      </c>
      <c r="W52" s="1">
        <f t="shared" si="2"/>
        <v>96</v>
      </c>
      <c r="X52" s="27" t="str">
        <f t="shared" si="0"/>
        <v>A</v>
      </c>
    </row>
    <row r="53" spans="1:24" x14ac:dyDescent="0.35">
      <c r="A53" s="1">
        <v>42</v>
      </c>
      <c r="B53" s="1">
        <v>241112271</v>
      </c>
      <c r="C53" s="1" t="s">
        <v>354</v>
      </c>
      <c r="D53" s="1" t="s">
        <v>355</v>
      </c>
      <c r="E53" s="1" t="s">
        <v>356</v>
      </c>
      <c r="F53" s="2" cm="1">
        <f t="array" ref="F53">_xlfn.IFNA(_xlfn.XLOOKUP(B53,'[1]test calc nilai mentah'!$B:$B,'[1]test calc nilai mentah'!$E:$E),null)</f>
        <v>95</v>
      </c>
      <c r="G53" s="2" cm="1">
        <f t="array" ref="G53">_xlfn.IFNA(_xlfn.XLOOKUP(B53,'[1]test calc nilai mentah'!$B:$B,'[1]test calc nilai mentah'!$F:$F),null)</f>
        <v>94</v>
      </c>
      <c r="H53" s="20" t="s">
        <v>357</v>
      </c>
      <c r="I53" s="1" t="s">
        <v>16</v>
      </c>
      <c r="J53" s="1" t="s">
        <v>358</v>
      </c>
      <c r="K53" s="1" t="s">
        <v>72</v>
      </c>
      <c r="L53" s="1" t="s">
        <v>143</v>
      </c>
      <c r="M53" s="1" t="s">
        <v>359</v>
      </c>
      <c r="O53" s="21">
        <v>0.93</v>
      </c>
      <c r="P53" s="26"/>
      <c r="Q53" s="4">
        <v>100</v>
      </c>
      <c r="R53" s="23">
        <f>_xlfn.XLOOKUP(B53,[2]Report!$P:$P,[2]Report!$S:$S)</f>
        <v>1</v>
      </c>
      <c r="S53" s="1">
        <v>90</v>
      </c>
      <c r="T53" s="1">
        <v>100</v>
      </c>
      <c r="U53" s="1">
        <v>100</v>
      </c>
      <c r="V53" s="1">
        <f t="shared" si="1"/>
        <v>96.75</v>
      </c>
      <c r="W53" s="1">
        <f t="shared" si="2"/>
        <v>97</v>
      </c>
      <c r="X53" s="27" t="str">
        <f t="shared" si="0"/>
        <v>A</v>
      </c>
    </row>
    <row r="54" spans="1:24" x14ac:dyDescent="0.35">
      <c r="A54" s="1">
        <v>43</v>
      </c>
      <c r="B54" s="1">
        <v>241112358</v>
      </c>
      <c r="C54" s="1" t="s">
        <v>360</v>
      </c>
      <c r="D54" s="1" t="s">
        <v>361</v>
      </c>
      <c r="E54" s="1" t="s">
        <v>362</v>
      </c>
      <c r="F54" s="2" cm="1">
        <f t="array" ref="F54">_xlfn.IFNA(_xlfn.XLOOKUP(B54,'[1]test calc nilai mentah'!$B:$B,'[1]test calc nilai mentah'!$E:$E),null)</f>
        <v>88</v>
      </c>
      <c r="G54" s="2" cm="1">
        <f t="array" ref="G54">_xlfn.IFNA(_xlfn.XLOOKUP(B54,'[1]test calc nilai mentah'!$B:$B,'[1]test calc nilai mentah'!$F:$F),null)</f>
        <v>80</v>
      </c>
      <c r="H54" s="20" t="s">
        <v>363</v>
      </c>
      <c r="I54" s="1" t="s">
        <v>16</v>
      </c>
      <c r="J54" s="1" t="s">
        <v>364</v>
      </c>
      <c r="K54" s="1" t="s">
        <v>365</v>
      </c>
      <c r="L54" s="1" t="s">
        <v>366</v>
      </c>
      <c r="M54" s="1" t="s">
        <v>367</v>
      </c>
      <c r="O54" s="21">
        <v>1</v>
      </c>
      <c r="P54" s="26"/>
      <c r="Q54" s="4">
        <v>39</v>
      </c>
      <c r="R54" s="23">
        <f>_xlfn.XLOOKUP(B54,[2]Report!$P:$P,[2]Report!$S:$S)</f>
        <v>0.5714285714285714</v>
      </c>
      <c r="S54" s="1">
        <v>80</v>
      </c>
      <c r="T54" s="36">
        <v>94</v>
      </c>
      <c r="U54" s="1">
        <v>100</v>
      </c>
      <c r="V54" s="1">
        <f t="shared" si="1"/>
        <v>80.95</v>
      </c>
      <c r="W54" s="1">
        <f t="shared" si="2"/>
        <v>81</v>
      </c>
      <c r="X54" s="27" t="str">
        <f t="shared" si="0"/>
        <v>A-</v>
      </c>
    </row>
    <row r="55" spans="1:24" x14ac:dyDescent="0.35">
      <c r="A55" s="1">
        <v>44</v>
      </c>
      <c r="B55" s="1">
        <v>241112411</v>
      </c>
      <c r="C55" s="1" t="s">
        <v>368</v>
      </c>
      <c r="D55" s="1" t="s">
        <v>369</v>
      </c>
      <c r="E55" s="1" t="s">
        <v>370</v>
      </c>
      <c r="F55" s="2" cm="1">
        <f t="array" ref="F55">_xlfn.IFNA(_xlfn.XLOOKUP(B55,'[1]test calc nilai mentah'!$B:$B,'[1]test calc nilai mentah'!$E:$E),null)</f>
        <v>80</v>
      </c>
      <c r="G55" s="2" cm="1">
        <f t="array" ref="G55">_xlfn.IFNA(_xlfn.XLOOKUP(B55,'[1]test calc nilai mentah'!$B:$B,'[1]test calc nilai mentah'!$F:$F),null)</f>
        <v>85</v>
      </c>
      <c r="H55" s="20" t="s">
        <v>371</v>
      </c>
      <c r="I55" s="1" t="s">
        <v>16</v>
      </c>
      <c r="J55" s="1" t="s">
        <v>301</v>
      </c>
      <c r="K55" s="1" t="s">
        <v>308</v>
      </c>
      <c r="L55" s="1" t="s">
        <v>372</v>
      </c>
      <c r="M55" s="1" t="s">
        <v>373</v>
      </c>
      <c r="O55" s="21">
        <v>1</v>
      </c>
      <c r="P55" s="26"/>
      <c r="Q55" s="4">
        <v>15</v>
      </c>
      <c r="R55" s="23">
        <f>_xlfn.XLOOKUP(B55,[2]Report!$P:$P,[2]Report!$S:$S)</f>
        <v>0.42857142857142855</v>
      </c>
      <c r="S55" s="1">
        <v>100</v>
      </c>
      <c r="T55" s="1">
        <v>94</v>
      </c>
      <c r="U55" s="1">
        <v>96</v>
      </c>
      <c r="V55" s="1">
        <f t="shared" si="1"/>
        <v>77</v>
      </c>
      <c r="W55" s="1">
        <f t="shared" si="2"/>
        <v>77</v>
      </c>
      <c r="X55" s="27" t="str">
        <f t="shared" si="0"/>
        <v>B+</v>
      </c>
    </row>
    <row r="56" spans="1:24" x14ac:dyDescent="0.35">
      <c r="A56" s="1">
        <v>45</v>
      </c>
      <c r="B56" s="1">
        <v>241112498</v>
      </c>
      <c r="C56" s="30" t="s">
        <v>374</v>
      </c>
      <c r="D56" s="1" t="s">
        <v>375</v>
      </c>
      <c r="E56" s="32" t="s">
        <v>376</v>
      </c>
      <c r="F56" s="2" cm="1">
        <f t="array" ref="F56">_xlfn.IFNA(_xlfn.XLOOKUP(B56,'[1]test calc nilai mentah'!$B:$B,'[1]test calc nilai mentah'!$E:$E),null)</f>
        <v>92</v>
      </c>
      <c r="G56" s="2" cm="1">
        <f t="array" ref="G56">_xlfn.IFNA(_xlfn.XLOOKUP(B56,'[1]test calc nilai mentah'!$B:$B,'[1]test calc nilai mentah'!$F:$F),null)</f>
        <v>85</v>
      </c>
      <c r="H56" s="16" t="s">
        <v>377</v>
      </c>
      <c r="I56" s="34"/>
      <c r="J56" s="29" t="s">
        <v>378</v>
      </c>
      <c r="K56" s="1" t="s">
        <v>379</v>
      </c>
      <c r="L56" s="29" t="s">
        <v>380</v>
      </c>
      <c r="M56" s="29" t="s">
        <v>381</v>
      </c>
      <c r="N56" s="29"/>
      <c r="O56" s="21">
        <v>1</v>
      </c>
      <c r="P56" s="26"/>
      <c r="Q56" s="4">
        <v>82</v>
      </c>
      <c r="R56" s="23">
        <f>_xlfn.XLOOKUP(B56,[2]Report!$P:$P,[2]Report!$S:$S)</f>
        <v>1</v>
      </c>
      <c r="S56" s="1">
        <v>90</v>
      </c>
      <c r="T56" s="1">
        <v>100</v>
      </c>
      <c r="U56" s="1">
        <v>100</v>
      </c>
      <c r="V56" s="1">
        <f t="shared" si="1"/>
        <v>91.05</v>
      </c>
      <c r="W56" s="1">
        <f t="shared" si="2"/>
        <v>92</v>
      </c>
      <c r="X56" s="27" t="str">
        <f t="shared" si="0"/>
        <v>A</v>
      </c>
    </row>
    <row r="57" spans="1:24" x14ac:dyDescent="0.35">
      <c r="A57" s="1">
        <v>46</v>
      </c>
      <c r="B57" s="1">
        <v>241112546</v>
      </c>
      <c r="C57" s="1" t="s">
        <v>382</v>
      </c>
      <c r="D57" s="1" t="s">
        <v>383</v>
      </c>
      <c r="E57" s="1" t="s">
        <v>384</v>
      </c>
      <c r="F57" s="2" cm="1">
        <f t="array" ref="F57">_xlfn.IFNA(_xlfn.XLOOKUP(B57,'[1]test calc nilai mentah'!$B:$B,'[1]test calc nilai mentah'!$E:$E),null)</f>
        <v>88</v>
      </c>
      <c r="G57" s="2" cm="1">
        <f t="array" ref="G57">_xlfn.IFNA(_xlfn.XLOOKUP(B57,'[1]test calc nilai mentah'!$B:$B,'[1]test calc nilai mentah'!$F:$F),null)</f>
        <v>92</v>
      </c>
      <c r="H57" s="20" t="s">
        <v>385</v>
      </c>
      <c r="I57" s="1" t="s">
        <v>16</v>
      </c>
      <c r="J57" s="1" t="s">
        <v>386</v>
      </c>
      <c r="K57" s="1" t="s">
        <v>387</v>
      </c>
      <c r="L57" s="1" t="s">
        <v>388</v>
      </c>
      <c r="M57" s="1" t="s">
        <v>389</v>
      </c>
      <c r="O57" s="21">
        <v>0.93</v>
      </c>
      <c r="P57" s="26"/>
      <c r="Q57" s="4">
        <v>15</v>
      </c>
      <c r="R57" s="23">
        <f>_xlfn.XLOOKUP(B57,[2]Report!$P:$P,[2]Report!$S:$S)</f>
        <v>0.42857142857142855</v>
      </c>
      <c r="S57" s="1">
        <v>100</v>
      </c>
      <c r="T57" s="1">
        <v>100</v>
      </c>
      <c r="U57" s="1">
        <v>100</v>
      </c>
      <c r="V57" s="1">
        <f t="shared" si="1"/>
        <v>82.25</v>
      </c>
      <c r="W57" s="1">
        <f t="shared" si="2"/>
        <v>83</v>
      </c>
      <c r="X57" s="27" t="str">
        <f t="shared" si="0"/>
        <v>A-</v>
      </c>
    </row>
    <row r="58" spans="1:24" x14ac:dyDescent="0.35">
      <c r="A58" s="1">
        <v>47</v>
      </c>
      <c r="B58" s="1">
        <v>241112584</v>
      </c>
      <c r="C58" s="1" t="s">
        <v>390</v>
      </c>
      <c r="D58" s="1" t="s">
        <v>391</v>
      </c>
      <c r="E58" s="1" t="s">
        <v>392</v>
      </c>
      <c r="F58" s="2" cm="1">
        <f t="array" ref="F58">_xlfn.IFNA(_xlfn.XLOOKUP(B58,'[1]test calc nilai mentah'!$B:$B,'[1]test calc nilai mentah'!$E:$E),null)</f>
        <v>90</v>
      </c>
      <c r="G58" s="2" cm="1">
        <f t="array" ref="G58">_xlfn.IFNA(_xlfn.XLOOKUP(B58,'[1]test calc nilai mentah'!$B:$B,'[1]test calc nilai mentah'!$F:$F),null)</f>
        <v>80</v>
      </c>
      <c r="H58" s="20" t="s">
        <v>393</v>
      </c>
      <c r="I58" s="1" t="s">
        <v>16</v>
      </c>
      <c r="J58" s="1" t="s">
        <v>394</v>
      </c>
      <c r="K58" s="1" t="s">
        <v>395</v>
      </c>
      <c r="L58" s="1" t="s">
        <v>257</v>
      </c>
      <c r="M58" s="1" t="s">
        <v>396</v>
      </c>
      <c r="O58" s="21">
        <v>1</v>
      </c>
      <c r="P58" s="22">
        <v>7</v>
      </c>
      <c r="Q58" s="4">
        <v>100</v>
      </c>
      <c r="R58" s="23">
        <f>_xlfn.XLOOKUP(B58,[2]Report!$P:$P,[2]Report!$S:$S)</f>
        <v>1</v>
      </c>
      <c r="S58" s="1">
        <v>100</v>
      </c>
      <c r="T58" s="1">
        <v>100</v>
      </c>
      <c r="U58" s="1">
        <v>100</v>
      </c>
      <c r="V58" s="1">
        <f t="shared" si="1"/>
        <v>92.5</v>
      </c>
      <c r="W58" s="1">
        <f t="shared" si="2"/>
        <v>93</v>
      </c>
      <c r="X58" s="27" t="str">
        <f t="shared" si="0"/>
        <v>A</v>
      </c>
    </row>
    <row r="59" spans="1:24" x14ac:dyDescent="0.35">
      <c r="A59" s="1">
        <v>48</v>
      </c>
      <c r="B59" s="1">
        <v>241112659</v>
      </c>
      <c r="C59" s="1" t="s">
        <v>397</v>
      </c>
      <c r="D59" s="1" t="s">
        <v>398</v>
      </c>
      <c r="E59" s="1" t="s">
        <v>399</v>
      </c>
      <c r="F59" s="2" cm="1">
        <f t="array" ref="F59">_xlfn.IFNA(_xlfn.XLOOKUP(B59,'[1]test calc nilai mentah'!$B:$B,'[1]test calc nilai mentah'!$E:$E),null)</f>
        <v>90</v>
      </c>
      <c r="G59" s="2" cm="1">
        <f t="array" ref="G59">_xlfn.IFNA(_xlfn.XLOOKUP(B59,'[1]test calc nilai mentah'!$B:$B,'[1]test calc nilai mentah'!$F:$F),null)</f>
        <v>80</v>
      </c>
      <c r="H59" s="20" t="s">
        <v>400</v>
      </c>
      <c r="I59" s="1" t="s">
        <v>16</v>
      </c>
      <c r="J59" s="1" t="s">
        <v>401</v>
      </c>
      <c r="K59" s="1" t="s">
        <v>402</v>
      </c>
      <c r="L59" s="29" t="s">
        <v>403</v>
      </c>
      <c r="M59" s="29" t="s">
        <v>404</v>
      </c>
      <c r="N59" s="29"/>
      <c r="O59" s="21">
        <v>0.93</v>
      </c>
      <c r="P59" s="26"/>
      <c r="Q59" s="4">
        <v>77</v>
      </c>
      <c r="R59" s="23">
        <f>_xlfn.XLOOKUP(B59,[2]Report!$P:$P,[2]Report!$S:$S)</f>
        <v>0.8571428571428571</v>
      </c>
      <c r="S59" s="1">
        <v>100</v>
      </c>
      <c r="T59" s="1">
        <v>100</v>
      </c>
      <c r="U59" s="1">
        <v>100</v>
      </c>
      <c r="V59" s="1">
        <f t="shared" si="1"/>
        <v>89.05</v>
      </c>
      <c r="W59" s="1">
        <f t="shared" si="2"/>
        <v>90</v>
      </c>
      <c r="X59" s="27" t="str">
        <f t="shared" si="0"/>
        <v>A</v>
      </c>
    </row>
    <row r="60" spans="1:24" x14ac:dyDescent="0.35">
      <c r="A60" s="1">
        <v>49</v>
      </c>
      <c r="B60" s="1">
        <v>241112730</v>
      </c>
      <c r="C60" s="1" t="s">
        <v>405</v>
      </c>
      <c r="D60" s="1" t="s">
        <v>406</v>
      </c>
      <c r="E60" s="1" t="s">
        <v>407</v>
      </c>
      <c r="F60" s="2" cm="1">
        <f t="array" ref="F60">_xlfn.IFNA(_xlfn.XLOOKUP(B60,'[1]test calc nilai mentah'!$B:$B,'[1]test calc nilai mentah'!$E:$E),null)</f>
        <v>95</v>
      </c>
      <c r="G60" s="2" cm="1">
        <f t="array" ref="G60">_xlfn.IFNA(_xlfn.XLOOKUP(B60,'[1]test calc nilai mentah'!$B:$B,'[1]test calc nilai mentah'!$F:$F),null)</f>
        <v>88</v>
      </c>
      <c r="H60" s="20" t="s">
        <v>408</v>
      </c>
      <c r="I60" s="1" t="s">
        <v>16</v>
      </c>
      <c r="J60" s="1" t="s">
        <v>270</v>
      </c>
      <c r="K60" s="34"/>
      <c r="L60" s="34"/>
      <c r="M60" s="29" t="s">
        <v>409</v>
      </c>
      <c r="N60" s="29"/>
      <c r="O60" s="21">
        <v>0.87</v>
      </c>
      <c r="P60" s="26"/>
      <c r="Q60" s="4">
        <v>34</v>
      </c>
      <c r="R60" s="23">
        <f>_xlfn.XLOOKUP(B60,[2]Report!$P:$P,[2]Report!$S:$S)</f>
        <v>0.42857142857142855</v>
      </c>
      <c r="S60" s="1">
        <v>100</v>
      </c>
      <c r="T60" s="1">
        <v>54</v>
      </c>
      <c r="U60" s="1">
        <v>100</v>
      </c>
      <c r="V60" s="1">
        <f t="shared" si="1"/>
        <v>78.95</v>
      </c>
      <c r="W60" s="1">
        <f t="shared" si="2"/>
        <v>79</v>
      </c>
      <c r="X60" s="27" t="str">
        <f t="shared" si="0"/>
        <v>B+</v>
      </c>
    </row>
    <row r="61" spans="1:24" x14ac:dyDescent="0.35">
      <c r="A61" s="1">
        <v>50</v>
      </c>
      <c r="B61" s="1">
        <v>241112797</v>
      </c>
      <c r="C61" s="1" t="s">
        <v>410</v>
      </c>
      <c r="D61" s="1" t="s">
        <v>411</v>
      </c>
      <c r="E61" s="1" t="s">
        <v>412</v>
      </c>
      <c r="F61" s="2" cm="1">
        <f t="array" ref="F61">_xlfn.IFNA(_xlfn.XLOOKUP(B61,'[1]test calc nilai mentah'!$B:$B,'[1]test calc nilai mentah'!$E:$E),null)</f>
        <v>85</v>
      </c>
      <c r="G61" s="2" cm="1">
        <f t="array" ref="G61">_xlfn.IFNA(_xlfn.XLOOKUP(B61,'[1]test calc nilai mentah'!$B:$B,'[1]test calc nilai mentah'!$F:$F),null)</f>
        <v>82</v>
      </c>
      <c r="H61" s="20" t="s">
        <v>413</v>
      </c>
      <c r="I61" s="1" t="s">
        <v>16</v>
      </c>
      <c r="J61" s="1" t="s">
        <v>414</v>
      </c>
      <c r="K61" s="1" t="s">
        <v>415</v>
      </c>
      <c r="L61" s="29" t="s">
        <v>416</v>
      </c>
      <c r="M61" s="29" t="s">
        <v>417</v>
      </c>
      <c r="N61" s="29"/>
      <c r="O61" s="21">
        <v>0.93</v>
      </c>
      <c r="P61" s="28">
        <v>2</v>
      </c>
      <c r="Q61" s="4">
        <v>91</v>
      </c>
      <c r="R61" s="23">
        <f>_xlfn.XLOOKUP(B61,[2]Report!$P:$P,[2]Report!$S:$S)</f>
        <v>1</v>
      </c>
      <c r="S61" s="1">
        <v>70</v>
      </c>
      <c r="T61" s="1">
        <v>94</v>
      </c>
      <c r="U61" s="1">
        <v>100</v>
      </c>
      <c r="V61" s="1">
        <f t="shared" si="1"/>
        <v>88</v>
      </c>
      <c r="W61" s="1">
        <f t="shared" si="2"/>
        <v>88</v>
      </c>
      <c r="X61" s="27" t="str">
        <f t="shared" si="0"/>
        <v>A</v>
      </c>
    </row>
    <row r="62" spans="1:24" x14ac:dyDescent="0.35">
      <c r="A62" s="1">
        <v>51</v>
      </c>
      <c r="B62" s="1">
        <v>241112834</v>
      </c>
      <c r="C62" s="1" t="s">
        <v>418</v>
      </c>
      <c r="D62" s="1" t="s">
        <v>419</v>
      </c>
      <c r="E62" s="1" t="s">
        <v>420</v>
      </c>
      <c r="F62" s="2" cm="1">
        <f t="array" ref="F62">_xlfn.IFNA(_xlfn.XLOOKUP(B62,'[1]test calc nilai mentah'!$B:$B,'[1]test calc nilai mentah'!$E:$E),null)</f>
        <v>85</v>
      </c>
      <c r="G62" s="2" cm="1">
        <f t="array" ref="G62">_xlfn.IFNA(_xlfn.XLOOKUP(B62,'[1]test calc nilai mentah'!$B:$B,'[1]test calc nilai mentah'!$F:$F),null)</f>
        <v>82</v>
      </c>
      <c r="H62" s="20" t="s">
        <v>421</v>
      </c>
      <c r="I62" s="1" t="s">
        <v>16</v>
      </c>
      <c r="J62" s="1" t="s">
        <v>422</v>
      </c>
      <c r="K62" s="1" t="s">
        <v>423</v>
      </c>
      <c r="L62" s="1" t="s">
        <v>424</v>
      </c>
      <c r="M62" s="1" t="s">
        <v>425</v>
      </c>
      <c r="O62" s="21">
        <v>1</v>
      </c>
      <c r="P62" s="26"/>
      <c r="Q62" s="4">
        <v>100</v>
      </c>
      <c r="R62" s="23">
        <f>_xlfn.XLOOKUP(B62,[2]Report!$P:$P,[2]Report!$S:$S)</f>
        <v>1</v>
      </c>
      <c r="S62" s="1">
        <v>90</v>
      </c>
      <c r="T62" s="1">
        <v>98</v>
      </c>
      <c r="U62" s="1">
        <v>92</v>
      </c>
      <c r="V62" s="1">
        <f t="shared" si="1"/>
        <v>89.75</v>
      </c>
      <c r="W62" s="1">
        <f t="shared" si="2"/>
        <v>90</v>
      </c>
      <c r="X62" s="27" t="str">
        <f t="shared" si="0"/>
        <v>A</v>
      </c>
    </row>
    <row r="63" spans="1:24" ht="15" thickBot="1" x14ac:dyDescent="0.4">
      <c r="A63" s="1">
        <v>52</v>
      </c>
      <c r="B63" s="1">
        <v>241112979</v>
      </c>
      <c r="C63" s="1" t="s">
        <v>426</v>
      </c>
      <c r="D63" s="1" t="s">
        <v>427</v>
      </c>
      <c r="E63" s="1" t="s">
        <v>428</v>
      </c>
      <c r="F63" s="2" cm="1">
        <f t="array" ref="F63">_xlfn.IFNA(_xlfn.XLOOKUP(B63,'[1]test calc nilai mentah'!$B:$B,'[1]test calc nilai mentah'!$E:$E),null)</f>
        <v>84</v>
      </c>
      <c r="G63" s="2" cm="1">
        <f t="array" ref="G63">_xlfn.IFNA(_xlfn.XLOOKUP(B63,'[1]test calc nilai mentah'!$B:$B,'[1]test calc nilai mentah'!$F:$F),null)</f>
        <v>90</v>
      </c>
      <c r="H63" s="37" t="s">
        <v>429</v>
      </c>
      <c r="I63" s="38" t="s">
        <v>16</v>
      </c>
      <c r="J63" s="38" t="s">
        <v>430</v>
      </c>
      <c r="K63" s="38" t="s">
        <v>431</v>
      </c>
      <c r="L63" s="38" t="s">
        <v>432</v>
      </c>
      <c r="M63" s="38" t="s">
        <v>433</v>
      </c>
      <c r="N63" s="38"/>
      <c r="O63" s="39">
        <v>0.93</v>
      </c>
      <c r="P63" s="40"/>
      <c r="Q63" s="4">
        <v>62.2</v>
      </c>
      <c r="R63" s="23">
        <f>_xlfn.XLOOKUP(B63,[2]Report!$P:$P,[2]Report!$S:$S)</f>
        <v>0.7142857142857143</v>
      </c>
      <c r="S63" s="1">
        <v>90</v>
      </c>
      <c r="T63" s="1">
        <v>70</v>
      </c>
      <c r="U63" s="1">
        <v>96</v>
      </c>
      <c r="V63" s="1">
        <f t="shared" si="1"/>
        <v>82.22999999999999</v>
      </c>
      <c r="W63" s="1">
        <f t="shared" si="2"/>
        <v>83</v>
      </c>
      <c r="X63" s="27" t="str">
        <f t="shared" si="0"/>
        <v>A-</v>
      </c>
    </row>
  </sheetData>
  <sheetProtection formatCells="0" formatColumns="0" formatRows="0" insertColumns="0" insertRows="0" insertHyperlinks="0" deleteColumns="0" deleteRows="0" sort="0" autoFilter="0" pivotTables="0"/>
  <autoFilter ref="A11:X11" xr:uid="{2DB02F20-C58B-42E9-A62A-72EDC75FDBD2}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Arisman Pili</dc:creator>
  <cp:lastModifiedBy>Arisman Pili</cp:lastModifiedBy>
  <dcterms:created xsi:type="dcterms:W3CDTF">2026-07-15T08:34:17Z</dcterms:created>
  <dcterms:modified xsi:type="dcterms:W3CDTF">2026-07-15T10:10:16Z</dcterms:modified>
</cp:coreProperties>
</file>