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.arisman.pili\Documents\"/>
    </mc:Choice>
  </mc:AlternateContent>
  <xr:revisionPtr revIDLastSave="0" documentId="8_{29E108EF-579A-4211-B779-449A8A008C24}" xr6:coauthVersionLast="47" xr6:coauthVersionMax="47" xr10:uidLastSave="{00000000-0000-0000-0000-000000000000}"/>
  <bookViews>
    <workbookView xWindow="-110" yWindow="-110" windowWidth="19420" windowHeight="10420" xr2:uid="{B1FAA101-58DB-43CC-8840-6B9FFD9B94B2}"/>
  </bookViews>
  <sheets>
    <sheet name="Upload" sheetId="1" r:id="rId1"/>
  </sheets>
  <definedNames>
    <definedName name="_xlnm._FilterDatabase" localSheetId="0" hidden="1">Upload!$A$10:$X$69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9" i="1" l="1"/>
  <c r="X69" i="1" s="1"/>
  <c r="X68" i="1"/>
  <c r="V68" i="1"/>
  <c r="W68" i="1" s="1"/>
  <c r="X67" i="1"/>
  <c r="W67" i="1"/>
  <c r="V67" i="1"/>
  <c r="V66" i="1"/>
  <c r="X66" i="1" s="1"/>
  <c r="V65" i="1"/>
  <c r="X65" i="1" s="1"/>
  <c r="X64" i="1"/>
  <c r="V64" i="1"/>
  <c r="W64" i="1" s="1"/>
  <c r="X63" i="1"/>
  <c r="W63" i="1"/>
  <c r="V63" i="1"/>
  <c r="V62" i="1"/>
  <c r="W62" i="1" s="1"/>
  <c r="V61" i="1"/>
  <c r="X61" i="1" s="1"/>
  <c r="X60" i="1"/>
  <c r="V60" i="1"/>
  <c r="W60" i="1" s="1"/>
  <c r="X59" i="1"/>
  <c r="W59" i="1"/>
  <c r="V59" i="1"/>
  <c r="V58" i="1"/>
  <c r="X58" i="1" s="1"/>
  <c r="V57" i="1"/>
  <c r="X57" i="1" s="1"/>
  <c r="X56" i="1"/>
  <c r="V55" i="1"/>
  <c r="X55" i="1" s="1"/>
  <c r="X54" i="1"/>
  <c r="V54" i="1"/>
  <c r="W54" i="1" s="1"/>
  <c r="X53" i="1"/>
  <c r="W53" i="1"/>
  <c r="V53" i="1"/>
  <c r="V52" i="1"/>
  <c r="W52" i="1" s="1"/>
  <c r="V51" i="1"/>
  <c r="X51" i="1" s="1"/>
  <c r="X50" i="1"/>
  <c r="V50" i="1"/>
  <c r="W50" i="1" s="1"/>
  <c r="X49" i="1"/>
  <c r="W49" i="1"/>
  <c r="V49" i="1"/>
  <c r="V48" i="1"/>
  <c r="X48" i="1" s="1"/>
  <c r="V47" i="1"/>
  <c r="X47" i="1" s="1"/>
  <c r="X46" i="1"/>
  <c r="V46" i="1"/>
  <c r="W46" i="1" s="1"/>
  <c r="X45" i="1"/>
  <c r="W45" i="1"/>
  <c r="V45" i="1"/>
  <c r="V44" i="1"/>
  <c r="X44" i="1" s="1"/>
  <c r="V43" i="1"/>
  <c r="X43" i="1" s="1"/>
  <c r="X42" i="1"/>
  <c r="V42" i="1"/>
  <c r="W42" i="1" s="1"/>
  <c r="X41" i="1"/>
  <c r="W41" i="1"/>
  <c r="V41" i="1"/>
  <c r="V40" i="1"/>
  <c r="X40" i="1" s="1"/>
  <c r="V39" i="1"/>
  <c r="X39" i="1" s="1"/>
  <c r="X38" i="1"/>
  <c r="V38" i="1"/>
  <c r="W38" i="1" s="1"/>
  <c r="X37" i="1"/>
  <c r="W37" i="1"/>
  <c r="V37" i="1"/>
  <c r="V36" i="1"/>
  <c r="X36" i="1" s="1"/>
  <c r="V35" i="1"/>
  <c r="X35" i="1" s="1"/>
  <c r="X34" i="1"/>
  <c r="V34" i="1"/>
  <c r="W34" i="1" s="1"/>
  <c r="X33" i="1"/>
  <c r="W33" i="1"/>
  <c r="V33" i="1"/>
  <c r="V32" i="1"/>
  <c r="X32" i="1" s="1"/>
  <c r="V31" i="1"/>
  <c r="X31" i="1" s="1"/>
  <c r="X30" i="1"/>
  <c r="V30" i="1"/>
  <c r="W30" i="1" s="1"/>
  <c r="X29" i="1"/>
  <c r="W29" i="1"/>
  <c r="V29" i="1"/>
  <c r="V28" i="1"/>
  <c r="X28" i="1" s="1"/>
  <c r="V27" i="1"/>
  <c r="X27" i="1" s="1"/>
  <c r="X26" i="1"/>
  <c r="V26" i="1"/>
  <c r="W26" i="1" s="1"/>
  <c r="X25" i="1"/>
  <c r="W25" i="1"/>
  <c r="V25" i="1"/>
  <c r="V24" i="1"/>
  <c r="W24" i="1" s="1"/>
  <c r="V23" i="1"/>
  <c r="X23" i="1" s="1"/>
  <c r="X22" i="1"/>
  <c r="V22" i="1"/>
  <c r="W22" i="1" s="1"/>
  <c r="X21" i="1"/>
  <c r="W21" i="1"/>
  <c r="V21" i="1"/>
  <c r="V20" i="1"/>
  <c r="X20" i="1" s="1"/>
  <c r="V19" i="1"/>
  <c r="X19" i="1" s="1"/>
  <c r="X18" i="1"/>
  <c r="V18" i="1"/>
  <c r="W18" i="1" s="1"/>
  <c r="X17" i="1"/>
  <c r="W17" i="1"/>
  <c r="V17" i="1"/>
  <c r="V16" i="1"/>
  <c r="X16" i="1" s="1"/>
  <c r="V15" i="1"/>
  <c r="X15" i="1" s="1"/>
  <c r="X14" i="1"/>
  <c r="V14" i="1"/>
  <c r="W14" i="1" s="1"/>
  <c r="X13" i="1"/>
  <c r="W13" i="1"/>
  <c r="V13" i="1"/>
  <c r="V12" i="1"/>
  <c r="X12" i="1" s="1"/>
  <c r="V11" i="1"/>
  <c r="X11" i="1" s="1"/>
  <c r="W12" i="1" l="1"/>
  <c r="W16" i="1"/>
  <c r="W20" i="1"/>
  <c r="W28" i="1"/>
  <c r="W32" i="1"/>
  <c r="W36" i="1"/>
  <c r="W40" i="1"/>
  <c r="W44" i="1"/>
  <c r="W48" i="1"/>
  <c r="W58" i="1"/>
  <c r="W66" i="1"/>
  <c r="W11" i="1"/>
  <c r="W15" i="1"/>
  <c r="W19" i="1"/>
  <c r="W23" i="1"/>
  <c r="X24" i="1"/>
  <c r="W27" i="1"/>
  <c r="W31" i="1"/>
  <c r="W35" i="1"/>
  <c r="W39" i="1"/>
  <c r="W43" i="1"/>
  <c r="W47" i="1"/>
  <c r="W51" i="1"/>
  <c r="X52" i="1"/>
  <c r="W55" i="1"/>
  <c r="W57" i="1"/>
  <c r="W61" i="1"/>
  <c r="X62" i="1"/>
  <c r="W65" i="1"/>
  <c r="W69" i="1"/>
</calcChain>
</file>

<file path=xl/sharedStrings.xml><?xml version="1.0" encoding="utf-8"?>
<sst xmlns="http://schemas.openxmlformats.org/spreadsheetml/2006/main" count="619" uniqueCount="522">
  <si>
    <t>Semester Berjalan</t>
  </si>
  <si>
    <t>Genap</t>
  </si>
  <si>
    <t>Tahun Ajaran</t>
  </si>
  <si>
    <t>2025/2026</t>
  </si>
  <si>
    <t>Peminatan</t>
  </si>
  <si>
    <t>Teknik Informatika</t>
  </si>
  <si>
    <t>Waktu Kuliah</t>
  </si>
  <si>
    <t>Sore</t>
  </si>
  <si>
    <t>Stambuk</t>
  </si>
  <si>
    <t>Kelas</t>
  </si>
  <si>
    <t>A</t>
  </si>
  <si>
    <t>Mata Kuliah</t>
  </si>
  <si>
    <t>Rekayasa Perangkat Lunak</t>
  </si>
  <si>
    <t>Waktu Export</t>
  </si>
  <si>
    <t>2026-03-26 20:05:16</t>
  </si>
  <si>
    <t>`</t>
  </si>
  <si>
    <t>1h 32m 7s</t>
  </si>
  <si>
    <t>1h 54m 7s</t>
  </si>
  <si>
    <t>1h 34m 7s</t>
  </si>
  <si>
    <t>1h 33m 4s</t>
  </si>
  <si>
    <t>56m 28s</t>
  </si>
  <si>
    <t>1h 37m 36s</t>
  </si>
  <si>
    <t>1h 44m 5s</t>
  </si>
  <si>
    <t>No</t>
  </si>
  <si>
    <t>NIM</t>
  </si>
  <si>
    <t>Nama</t>
  </si>
  <si>
    <t>Nomor Handphone</t>
  </si>
  <si>
    <t>E-Mail</t>
  </si>
  <si>
    <t>TUGAS</t>
  </si>
  <si>
    <t>UTS</t>
  </si>
  <si>
    <t>M03</t>
  </si>
  <si>
    <t>M05</t>
  </si>
  <si>
    <t>M07</t>
  </si>
  <si>
    <t>M11</t>
  </si>
  <si>
    <t>M13</t>
  </si>
  <si>
    <t>M14</t>
  </si>
  <si>
    <t>M15</t>
  </si>
  <si>
    <t>Absensi</t>
  </si>
  <si>
    <t>Bintang</t>
  </si>
  <si>
    <t>Diskusi Mteam</t>
  </si>
  <si>
    <t>%</t>
  </si>
  <si>
    <t>Formatif</t>
  </si>
  <si>
    <t>Tugas-2</t>
  </si>
  <si>
    <t>UAS</t>
  </si>
  <si>
    <t>Nilai Angka</t>
  </si>
  <si>
    <t>Nilai Aktual</t>
  </si>
  <si>
    <t>Nilai Huruf</t>
  </si>
  <si>
    <t>Fajar Arya Priangga</t>
  </si>
  <si>
    <t>085646161265</t>
  </si>
  <si>
    <t>211112346@students.mikroskil.ac.id</t>
  </si>
  <si>
    <t>1h 24m 16s</t>
  </si>
  <si>
    <t>1h 29m 14s</t>
  </si>
  <si>
    <t>1h 23m 4s</t>
  </si>
  <si>
    <t>49m 2s</t>
  </si>
  <si>
    <t>1h 34m 31s</t>
  </si>
  <si>
    <t>1h 42m 16s</t>
  </si>
  <si>
    <t>Raihan Ali</t>
  </si>
  <si>
    <t>083839200407</t>
  </si>
  <si>
    <t>221111701@students.mikroskil.ac.id</t>
  </si>
  <si>
    <t>1h 27m 20s</t>
  </si>
  <si>
    <t>1h 34m 23s</t>
  </si>
  <si>
    <t>1h 23m 32s</t>
  </si>
  <si>
    <t>50m 16s</t>
  </si>
  <si>
    <t>1h 32m 8s</t>
  </si>
  <si>
    <t>1h 41m 47s</t>
  </si>
  <si>
    <t>Anderson Usman</t>
  </si>
  <si>
    <t>087893084586</t>
  </si>
  <si>
    <t>221112508@students.mikroskil.ac.id</t>
  </si>
  <si>
    <t>1h 22m 24s</t>
  </si>
  <si>
    <t>1h 14m 59s</t>
  </si>
  <si>
    <t>1h 32m 26s</t>
  </si>
  <si>
    <t>47m 54s</t>
  </si>
  <si>
    <t>1h 27m 44s</t>
  </si>
  <si>
    <t>1h 35m 12s</t>
  </si>
  <si>
    <t xml:space="preserve">Muhammad Rizkinta </t>
  </si>
  <si>
    <t>081370918381</t>
  </si>
  <si>
    <t>221112742@students.mikroskil.ac.id</t>
  </si>
  <si>
    <t>1h 25m 12s</t>
  </si>
  <si>
    <t>James Aprilius Clinton</t>
  </si>
  <si>
    <t>082374467515</t>
  </si>
  <si>
    <t>221113477@students.mikroskil.ac.id</t>
  </si>
  <si>
    <t>1h 20m 20s</t>
  </si>
  <si>
    <t>1h 1m 8s</t>
  </si>
  <si>
    <t>28m 21s</t>
  </si>
  <si>
    <t>1h 33m 11s</t>
  </si>
  <si>
    <t>1h 34m 38s</t>
  </si>
  <si>
    <t>William Wiryawan</t>
  </si>
  <si>
    <t>081360003266</t>
  </si>
  <si>
    <t>william.wiryawan@students.mikroskil.ac.id</t>
  </si>
  <si>
    <t>1h 20m 18s</t>
  </si>
  <si>
    <t>1h 36m 12s</t>
  </si>
  <si>
    <t>27m 18s</t>
  </si>
  <si>
    <t>54m 25s</t>
  </si>
  <si>
    <t>1h 35m 50s</t>
  </si>
  <si>
    <t>1h 20m 59s</t>
  </si>
  <si>
    <t>Wilhan</t>
  </si>
  <si>
    <t>087830930988</t>
  </si>
  <si>
    <t>wilhan@students.mikroskil.ac.id</t>
  </si>
  <si>
    <t>1h 30m 57s</t>
  </si>
  <si>
    <t>1h 35m 31s</t>
  </si>
  <si>
    <t>1h 29m 13s</t>
  </si>
  <si>
    <t>55m 33s</t>
  </si>
  <si>
    <t>1h 35m 46s</t>
  </si>
  <si>
    <t>1h 34m 14s</t>
  </si>
  <si>
    <t>Aelberth Cheong</t>
  </si>
  <si>
    <t>085156462870</t>
  </si>
  <si>
    <t>aelberth.cheong@students.mikroskil.ac.id</t>
  </si>
  <si>
    <t>1h 1m 47s</t>
  </si>
  <si>
    <t>1h 33m 34s</t>
  </si>
  <si>
    <t>1h 33m</t>
  </si>
  <si>
    <t>48m 44s</t>
  </si>
  <si>
    <t>1h 37m 21s</t>
  </si>
  <si>
    <t>1h 39m</t>
  </si>
  <si>
    <t>Felix Valentino</t>
  </si>
  <si>
    <t>082276769990</t>
  </si>
  <si>
    <t>felix.valentino@students.mikroskil.ac.id</t>
  </si>
  <si>
    <t>1h 32m 10s</t>
  </si>
  <si>
    <t>1h 31m 34s</t>
  </si>
  <si>
    <t>52m 11s</t>
  </si>
  <si>
    <t>1h 34m 41s</t>
  </si>
  <si>
    <t>1h 40m 17s</t>
  </si>
  <si>
    <t xml:space="preserve">Dicky Taruna </t>
  </si>
  <si>
    <t>085372712025</t>
  </si>
  <si>
    <t>dicky.taruna@students.mikroskil.ac.id</t>
  </si>
  <si>
    <t>1h 22m 2s</t>
  </si>
  <si>
    <t>1h 28m 35s</t>
  </si>
  <si>
    <t>1h 30m 39s</t>
  </si>
  <si>
    <t>49m 38s</t>
  </si>
  <si>
    <t>1h 30m 49s</t>
  </si>
  <si>
    <t>1h 36m 29s</t>
  </si>
  <si>
    <t>Vincent Lim</t>
  </si>
  <si>
    <t>089620237119</t>
  </si>
  <si>
    <t>vincent.lim@students.mikroskil.ac.id</t>
  </si>
  <si>
    <t>1h 31m 7s</t>
  </si>
  <si>
    <t>1h 35m</t>
  </si>
  <si>
    <t>1h 31m 57s</t>
  </si>
  <si>
    <t>54m 29s</t>
  </si>
  <si>
    <t>1h 35m 5s</t>
  </si>
  <si>
    <t>1h 42m 20s</t>
  </si>
  <si>
    <t>Julius Einstein Chandra</t>
  </si>
  <si>
    <t>085156699240</t>
  </si>
  <si>
    <t>julius.einstein@students.mikroskil.ac.id</t>
  </si>
  <si>
    <t>1h 26m 8s</t>
  </si>
  <si>
    <t>1h 28m 39s</t>
  </si>
  <si>
    <t>1h 11m 3s</t>
  </si>
  <si>
    <t>46m 34s</t>
  </si>
  <si>
    <t>Richard Lim</t>
  </si>
  <si>
    <t>085371967142</t>
  </si>
  <si>
    <t>richard.lim@students.mikroskil.ac.id</t>
  </si>
  <si>
    <t>1h 31m 39s</t>
  </si>
  <si>
    <t>1h 46m 54s</t>
  </si>
  <si>
    <t>1h 21m 19s</t>
  </si>
  <si>
    <t>38m 25s</t>
  </si>
  <si>
    <t>1h 36m 41s</t>
  </si>
  <si>
    <t>1h 35m 51s</t>
  </si>
  <si>
    <t xml:space="preserve">Felixander Ting </t>
  </si>
  <si>
    <t>082362026958</t>
  </si>
  <si>
    <t>felixander.ting@students.mikroskil.ac.id</t>
  </si>
  <si>
    <t>1h 30m 59s</t>
  </si>
  <si>
    <t>1h 32m 6s</t>
  </si>
  <si>
    <t>1h 31m 24s</t>
  </si>
  <si>
    <t>54m 52s</t>
  </si>
  <si>
    <t>1h 34m 18s</t>
  </si>
  <si>
    <t>1h 37m 4s</t>
  </si>
  <si>
    <t>Gillbert Allison Wijaya</t>
  </si>
  <si>
    <t>085100303495</t>
  </si>
  <si>
    <t>gillbert.allison@students.mikroskil.ac.id</t>
  </si>
  <si>
    <t>1h 31m 33s</t>
  </si>
  <si>
    <t>1h 33m 46s</t>
  </si>
  <si>
    <t>1h 21m 18s</t>
  </si>
  <si>
    <t>49m 5s</t>
  </si>
  <si>
    <t>1h 28m 7s</t>
  </si>
  <si>
    <t>1h 35m 24s</t>
  </si>
  <si>
    <t>Frederico Evan Heandi</t>
  </si>
  <si>
    <t>081214230352</t>
  </si>
  <si>
    <t>frederico.evan@students.mikroskil.ac.id</t>
  </si>
  <si>
    <t>1h 25m 38s</t>
  </si>
  <si>
    <t>1h 21m 30s</t>
  </si>
  <si>
    <t>1h 19m 5s</t>
  </si>
  <si>
    <t>55m 5s</t>
  </si>
  <si>
    <t>1h 22m 55s</t>
  </si>
  <si>
    <t>1h 42m 27s</t>
  </si>
  <si>
    <t>Winsley Kamarudin</t>
  </si>
  <si>
    <t>082382057178</t>
  </si>
  <si>
    <t>winsley.kamarudin@students.mikroskil.ac.id</t>
  </si>
  <si>
    <t>1h 29m 2s</t>
  </si>
  <si>
    <t>1h 41m 29s</t>
  </si>
  <si>
    <t>1h 29m 35s</t>
  </si>
  <si>
    <t>51m 52s</t>
  </si>
  <si>
    <t>1h 35m 54s</t>
  </si>
  <si>
    <t>1h 32m 46s</t>
  </si>
  <si>
    <t>Cheristine Kayla</t>
  </si>
  <si>
    <t>089522865030</t>
  </si>
  <si>
    <t>cheristine.kayla@students.mikroskil.ac.id</t>
  </si>
  <si>
    <t>1h 40m 39s</t>
  </si>
  <si>
    <t>1h 28m 21s</t>
  </si>
  <si>
    <t>53m 40s</t>
  </si>
  <si>
    <t>1h 35m 36s</t>
  </si>
  <si>
    <t>1h 42m 39s</t>
  </si>
  <si>
    <t xml:space="preserve">Stan Kovic </t>
  </si>
  <si>
    <t>081260837290</t>
  </si>
  <si>
    <t>stan.kovic@students.mikroskil.ac.id</t>
  </si>
  <si>
    <t>1h 32m 5s</t>
  </si>
  <si>
    <t>1h 41m 56s</t>
  </si>
  <si>
    <t>1h 33m 15s</t>
  </si>
  <si>
    <t>55m 50s</t>
  </si>
  <si>
    <t>1h 36m 27s</t>
  </si>
  <si>
    <t>1h 42m 35s</t>
  </si>
  <si>
    <t>Owen Wijaya</t>
  </si>
  <si>
    <t>0895611410162</t>
  </si>
  <si>
    <t>owen.wijaya@students.mikroskil.ac.id</t>
  </si>
  <si>
    <t>1h 32m 2s</t>
  </si>
  <si>
    <t>1h 39m 8s</t>
  </si>
  <si>
    <t>1h 28m 28s</t>
  </si>
  <si>
    <t>53m 13s</t>
  </si>
  <si>
    <t>1h 35m 26s</t>
  </si>
  <si>
    <t>1h 42m 31s</t>
  </si>
  <si>
    <t>Devin Gunawan</t>
  </si>
  <si>
    <t>089668613438</t>
  </si>
  <si>
    <t>devin.gunawan@students.mikroskil.ac.id</t>
  </si>
  <si>
    <t>1h 24m 53s</t>
  </si>
  <si>
    <t>1h 37m 55s</t>
  </si>
  <si>
    <t>55m 38s</t>
  </si>
  <si>
    <t>1h 29m 58s</t>
  </si>
  <si>
    <t>1h 16m 11s</t>
  </si>
  <si>
    <t>Bryan Chandra</t>
  </si>
  <si>
    <t>089627397638</t>
  </si>
  <si>
    <t>bryan.chandra@students.mikroskil.ac.id</t>
  </si>
  <si>
    <t>1h 30m 51s</t>
  </si>
  <si>
    <t>1h 19m 2s</t>
  </si>
  <si>
    <t>47m 41s</t>
  </si>
  <si>
    <t>48m 10s</t>
  </si>
  <si>
    <t>1h 13m 31s</t>
  </si>
  <si>
    <t>Peter Lin</t>
  </si>
  <si>
    <t>081265222220</t>
  </si>
  <si>
    <t>peter.lin@students.mikroskil.ac.id</t>
  </si>
  <si>
    <t>1h 32m 31s</t>
  </si>
  <si>
    <t>1h 28m 53s</t>
  </si>
  <si>
    <t>52m 51s</t>
  </si>
  <si>
    <t>1h 33m 41s</t>
  </si>
  <si>
    <t>1h 41m 53s</t>
  </si>
  <si>
    <t>Michael Christoffer Chu</t>
  </si>
  <si>
    <t>085372676481</t>
  </si>
  <si>
    <t>michael.christoffer@students.mikroskil.ac.id</t>
  </si>
  <si>
    <t>1h 32m 18s</t>
  </si>
  <si>
    <t>1h 45m 12s</t>
  </si>
  <si>
    <t>1h 31m 25s</t>
  </si>
  <si>
    <t>55m 21s</t>
  </si>
  <si>
    <t>1h 35m 3s</t>
  </si>
  <si>
    <t>1h 40m 45s</t>
  </si>
  <si>
    <t>Calvin Kenjiro</t>
  </si>
  <si>
    <t>082174842347</t>
  </si>
  <si>
    <t>calvin.kenjiro@students.mikroskil.ac.id</t>
  </si>
  <si>
    <t>1h 19m 47s</t>
  </si>
  <si>
    <t>1h 22m 1s</t>
  </si>
  <si>
    <t>54m 15s</t>
  </si>
  <si>
    <t>1h 35m 53s</t>
  </si>
  <si>
    <t>Laurencio Luckson</t>
  </si>
  <si>
    <t>0895624174455</t>
  </si>
  <si>
    <t>laurencio.luckson@students.mikroskil.ac.id</t>
  </si>
  <si>
    <t>1h 38m 15s</t>
  </si>
  <si>
    <t>45m 18s</t>
  </si>
  <si>
    <t>1h 35m 16s</t>
  </si>
  <si>
    <t>1h 42m 14s</t>
  </si>
  <si>
    <t>Everlita Evenlyn</t>
  </si>
  <si>
    <t>082111111479</t>
  </si>
  <si>
    <t>everlita.evenlyn@students.mikroskil.ac.id</t>
  </si>
  <si>
    <t>1h 30m 9s</t>
  </si>
  <si>
    <t>1h 32m 37s</t>
  </si>
  <si>
    <t>1h 28m 20s</t>
  </si>
  <si>
    <t>53m 33s</t>
  </si>
  <si>
    <t>1h 36m 3s</t>
  </si>
  <si>
    <t>1h 41m 7s</t>
  </si>
  <si>
    <t>Vincent Jordan Yu</t>
  </si>
  <si>
    <t>081776000906</t>
  </si>
  <si>
    <t>vincent.jordan@students.mikroskil.ac.id</t>
  </si>
  <si>
    <t>1h 32m 21s</t>
  </si>
  <si>
    <t>1h 29m 18s</t>
  </si>
  <si>
    <t>1h 28m 56s</t>
  </si>
  <si>
    <t>51m 39s</t>
  </si>
  <si>
    <t>1h 31m 19s</t>
  </si>
  <si>
    <t>1h 40m 28s</t>
  </si>
  <si>
    <t>Ervian Mentari</t>
  </si>
  <si>
    <t>082298912017</t>
  </si>
  <si>
    <t>ervian.mentari@students.mikroskil.ac.id</t>
  </si>
  <si>
    <t>1h 32m 53s</t>
  </si>
  <si>
    <t>1h 19m 8s</t>
  </si>
  <si>
    <t>50m 35s</t>
  </si>
  <si>
    <t>1h 38m 14s</t>
  </si>
  <si>
    <t>Fendy</t>
  </si>
  <si>
    <t>081269162405</t>
  </si>
  <si>
    <t>fendy@students.mikroskil.ac.id</t>
  </si>
  <si>
    <t>1h 31m 55s</t>
  </si>
  <si>
    <t>1h 50m 45s</t>
  </si>
  <si>
    <t>1h 33m 26s</t>
  </si>
  <si>
    <t>50m 37s</t>
  </si>
  <si>
    <t>1h 42m 44s</t>
  </si>
  <si>
    <t>Evan Adhyaksa Baskara</t>
  </si>
  <si>
    <t>082262201550</t>
  </si>
  <si>
    <t>evan.adhyaksa@students.mikroskil.ac.id</t>
  </si>
  <si>
    <t>1h 29m 50s</t>
  </si>
  <si>
    <t>1h 18m 55s</t>
  </si>
  <si>
    <t>1h 31m 43s</t>
  </si>
  <si>
    <t>53m 53s</t>
  </si>
  <si>
    <t>1h 31m 51s</t>
  </si>
  <si>
    <t>1h 41m 21s</t>
  </si>
  <si>
    <t>Romario Satyo</t>
  </si>
  <si>
    <t>085207012345</t>
  </si>
  <si>
    <t>romario.satyo@students.mikroskil.ac.id</t>
  </si>
  <si>
    <t>1h 28m 26s</t>
  </si>
  <si>
    <t>1h 25m 9s</t>
  </si>
  <si>
    <t>1h 29m 41s</t>
  </si>
  <si>
    <t>41m 9s</t>
  </si>
  <si>
    <t>1h 30m 29s</t>
  </si>
  <si>
    <t>1h 31m 45s</t>
  </si>
  <si>
    <t>Marlon Lie</t>
  </si>
  <si>
    <t>082122380469</t>
  </si>
  <si>
    <t>marlon.lie@students.mikroskil.ac.id</t>
  </si>
  <si>
    <t>1h 32m 51s</t>
  </si>
  <si>
    <t>1h 27m 59s</t>
  </si>
  <si>
    <t>52m 52s</t>
  </si>
  <si>
    <t>1h 27m 14s</t>
  </si>
  <si>
    <t>1h 39m 46s</t>
  </si>
  <si>
    <t>Dicky Sasqia</t>
  </si>
  <si>
    <t>085276112680</t>
  </si>
  <si>
    <t>dicky.sasqia@students.mikroskil.ac.id</t>
  </si>
  <si>
    <t>1h 27m 11s</t>
  </si>
  <si>
    <t>1h 30m 38s</t>
  </si>
  <si>
    <t>1h 26m 4s</t>
  </si>
  <si>
    <t>54m 48s</t>
  </si>
  <si>
    <t>1h 33m 37s</t>
  </si>
  <si>
    <t>1h 40m 38s</t>
  </si>
  <si>
    <t>Sean Ryo Valens Sahala</t>
  </si>
  <si>
    <t>085211129076</t>
  </si>
  <si>
    <t>sean.ryo@students.mikroskil.ac.id</t>
  </si>
  <si>
    <t>1h 31m 29s</t>
  </si>
  <si>
    <t>1h 29m 9s</t>
  </si>
  <si>
    <t>1h 29m 57s</t>
  </si>
  <si>
    <t>39m 41s</t>
  </si>
  <si>
    <t>1h 36m 13s</t>
  </si>
  <si>
    <t>1h 42m 25s</t>
  </si>
  <si>
    <t>William Tonata</t>
  </si>
  <si>
    <t>085176740520</t>
  </si>
  <si>
    <t>william.tonata@students.mikroskil.ac.id</t>
  </si>
  <si>
    <t>1h 33m 8s</t>
  </si>
  <si>
    <t>1h 24m 15s</t>
  </si>
  <si>
    <t>1h 30m 40s</t>
  </si>
  <si>
    <t>1h 30m 22s</t>
  </si>
  <si>
    <t>Stevania</t>
  </si>
  <si>
    <t>085260394617</t>
  </si>
  <si>
    <t>stevania@students.mikroskil.ac.id</t>
  </si>
  <si>
    <t>1h 20m 9s</t>
  </si>
  <si>
    <t>1h 47m 6s</t>
  </si>
  <si>
    <t>1h 29m 26s</t>
  </si>
  <si>
    <t>49m 29s</t>
  </si>
  <si>
    <t>1h 42m 53s</t>
  </si>
  <si>
    <t xml:space="preserve">Jassemine Tanziro </t>
  </si>
  <si>
    <t>089520925148</t>
  </si>
  <si>
    <t>jassemine.tanziro@students.mikroskil.ac.id</t>
  </si>
  <si>
    <t>1h 32m 9s</t>
  </si>
  <si>
    <t>1h 31m 9s</t>
  </si>
  <si>
    <t>55m 11s</t>
  </si>
  <si>
    <t>1h 36m 9s</t>
  </si>
  <si>
    <t>1h 43m 1s</t>
  </si>
  <si>
    <t>Luciano Hendriko Sihura</t>
  </si>
  <si>
    <t>082278214321</t>
  </si>
  <si>
    <t>luciano.hendriko@students.mikroskil.ac.id</t>
  </si>
  <si>
    <t>1h 15m 53s</t>
  </si>
  <si>
    <t>48m 21s</t>
  </si>
  <si>
    <t>1h 9m 16s</t>
  </si>
  <si>
    <t>49m 7s</t>
  </si>
  <si>
    <t>45m 3s</t>
  </si>
  <si>
    <t>Jensen Wijaya</t>
  </si>
  <si>
    <t>087713472649</t>
  </si>
  <si>
    <t>jensen.wijaya@students.mikroskil.ac.id</t>
  </si>
  <si>
    <t>1h 28m 13s</t>
  </si>
  <si>
    <t>1h 9m 3s</t>
  </si>
  <si>
    <t>1h 29m 33s</t>
  </si>
  <si>
    <t>51m 41s</t>
  </si>
  <si>
    <t>1h 37m 9s</t>
  </si>
  <si>
    <t>Deidrich Zhu</t>
  </si>
  <si>
    <t>081382789376</t>
  </si>
  <si>
    <t>deidrich.zhu@students.mikroskil.ac.id</t>
  </si>
  <si>
    <t>1h 23m 17s</t>
  </si>
  <si>
    <t>1h 31m 21s</t>
  </si>
  <si>
    <t>1h 32m 29s</t>
  </si>
  <si>
    <t>55m 3s</t>
  </si>
  <si>
    <t>1h 33m 29s</t>
  </si>
  <si>
    <t>1h 37m 25s</t>
  </si>
  <si>
    <t>Shawn Michael</t>
  </si>
  <si>
    <t>0895601023378</t>
  </si>
  <si>
    <t>shawn.michael@students.mikroskil.ac.id</t>
  </si>
  <si>
    <t>1h 27m 28s</t>
  </si>
  <si>
    <t>1h 30m 34s</t>
  </si>
  <si>
    <t>53m 11s</t>
  </si>
  <si>
    <t>1h 34m 48s</t>
  </si>
  <si>
    <t>1h 42m 34s</t>
  </si>
  <si>
    <t>Felix Arlen Tivano</t>
  </si>
  <si>
    <t>089687563779</t>
  </si>
  <si>
    <t>felix.arlen@students.mikroskil.ac.id</t>
  </si>
  <si>
    <t>1h 26m 39s</t>
  </si>
  <si>
    <t>1h 20m 4s</t>
  </si>
  <si>
    <t>1h 31m 18s</t>
  </si>
  <si>
    <t>34m 44s</t>
  </si>
  <si>
    <t>1h 10s</t>
  </si>
  <si>
    <t>1h 26m 29s</t>
  </si>
  <si>
    <t>Vincent</t>
  </si>
  <si>
    <t>082184269417</t>
  </si>
  <si>
    <t>vincent3@students.mikroskil.ac.id</t>
  </si>
  <si>
    <t>1h 33m 16s</t>
  </si>
  <si>
    <t>54m 40s</t>
  </si>
  <si>
    <t>1h 30m 27s</t>
  </si>
  <si>
    <t>1h 42m 9s</t>
  </si>
  <si>
    <t>Nicholas Lungnata</t>
  </si>
  <si>
    <t>081275367254</t>
  </si>
  <si>
    <t>nicholas.lungnata@students.mikroskil.ac.id</t>
  </si>
  <si>
    <t>1h 24m 14s</t>
  </si>
  <si>
    <t>1h 40m 31s</t>
  </si>
  <si>
    <t>1h 31m 58s</t>
  </si>
  <si>
    <t>34m 14s</t>
  </si>
  <si>
    <t>1h 39m 47s</t>
  </si>
  <si>
    <t>David Aurelio</t>
  </si>
  <si>
    <t>082143973331</t>
  </si>
  <si>
    <t>david.aurelio@students.mikroskil.ac.id</t>
  </si>
  <si>
    <t>Jerisco Geraldine</t>
  </si>
  <si>
    <t>082274197020</t>
  </si>
  <si>
    <t>jerisco.geraldine@students.mikroskil.ac.id</t>
  </si>
  <si>
    <t>1h 30m 52s</t>
  </si>
  <si>
    <t>1h 33m 22s</t>
  </si>
  <si>
    <t>1h 25m 53s</t>
  </si>
  <si>
    <t>55m 19s</t>
  </si>
  <si>
    <t>1h 37m 1s</t>
  </si>
  <si>
    <t>1h 42m 42s</t>
  </si>
  <si>
    <t>Wilson Jacklim. S</t>
  </si>
  <si>
    <t>081370666856</t>
  </si>
  <si>
    <t>wilson.jacklim@students.mikroskil.ac.id</t>
  </si>
  <si>
    <t>1h 31m 2s</t>
  </si>
  <si>
    <t>1h 29m 30s</t>
  </si>
  <si>
    <t>1h 31m 22s</t>
  </si>
  <si>
    <t>55m 14s</t>
  </si>
  <si>
    <t>1h 34m 45s</t>
  </si>
  <si>
    <t>1h 42m 8s</t>
  </si>
  <si>
    <t>Stephanus Hartanto</t>
  </si>
  <si>
    <t>082289644702</t>
  </si>
  <si>
    <t>stephanus.hartanto@students.mikroskil.ac.id</t>
  </si>
  <si>
    <t>23m 10s</t>
  </si>
  <si>
    <t>1h 28m 24s</t>
  </si>
  <si>
    <t>1h 31m 14s</t>
  </si>
  <si>
    <t>46m 45s</t>
  </si>
  <si>
    <t>1h 35m 11s</t>
  </si>
  <si>
    <t>1h 38m 45s</t>
  </si>
  <si>
    <t>John Herbert</t>
  </si>
  <si>
    <t>08116335773</t>
  </si>
  <si>
    <t>john.herbert@students.mikroskil.ac.id</t>
  </si>
  <si>
    <t>1h 54m 51s</t>
  </si>
  <si>
    <t>1h 26m 41s</t>
  </si>
  <si>
    <t>51m 7s</t>
  </si>
  <si>
    <t>1h 28m 30s</t>
  </si>
  <si>
    <t>Mhd. Abimanyu Saraan</t>
  </si>
  <si>
    <t>0895335386435</t>
  </si>
  <si>
    <t>mhd.abimanyu@students.mikroskil.ac.id</t>
  </si>
  <si>
    <t>1h 27m 17s</t>
  </si>
  <si>
    <t>31m 20s</t>
  </si>
  <si>
    <t>54m 22s</t>
  </si>
  <si>
    <t>1h 33m 38s</t>
  </si>
  <si>
    <t>Joseph Billy Tandy</t>
  </si>
  <si>
    <t>081284775789</t>
  </si>
  <si>
    <t>joseph.billy@students.mikroskil.ac.id</t>
  </si>
  <si>
    <t>1h 31m 47s</t>
  </si>
  <si>
    <t>1h 44m 14s</t>
  </si>
  <si>
    <t>1h 10m 58s</t>
  </si>
  <si>
    <t>53m 42s</t>
  </si>
  <si>
    <t>1h 27m 36s</t>
  </si>
  <si>
    <t>Vanessa</t>
  </si>
  <si>
    <t>0895628640605</t>
  </si>
  <si>
    <t>vanessa3@students.mikroskil.ac.id</t>
  </si>
  <si>
    <t>1h 1m 21s</t>
  </si>
  <si>
    <t>1h 15m 59s</t>
  </si>
  <si>
    <t>1h 12m 4s</t>
  </si>
  <si>
    <t>38m 13s</t>
  </si>
  <si>
    <t>1h 35m 18s</t>
  </si>
  <si>
    <t>1h 34m 16s</t>
  </si>
  <si>
    <t>081374611021</t>
  </si>
  <si>
    <t>vincent4@students.mikroskil.ac.id</t>
  </si>
  <si>
    <t>1h 33m 51s</t>
  </si>
  <si>
    <t>55m 43s</t>
  </si>
  <si>
    <t>1h 27m 39s</t>
  </si>
  <si>
    <t>1h 26m 34s</t>
  </si>
  <si>
    <t>Winnata Mulianto Halim</t>
  </si>
  <si>
    <t>085922989291</t>
  </si>
  <si>
    <t>winnata.mulianto@students.mikroskil.ac.id</t>
  </si>
  <si>
    <t>1h 42m 50s</t>
  </si>
  <si>
    <t>1h 27m 15s</t>
  </si>
  <si>
    <t>1h 35m 32s</t>
  </si>
  <si>
    <t>1h 34m 5s</t>
  </si>
  <si>
    <t>Natasya Kristine</t>
  </si>
  <si>
    <t>085668287633</t>
  </si>
  <si>
    <t>natasya.kristine@students.mikroskil.ac.id</t>
  </si>
  <si>
    <t>1h 16m 19s</t>
  </si>
  <si>
    <t>1h 26m 15s</t>
  </si>
  <si>
    <t>52m 13s</t>
  </si>
  <si>
    <t>1h 33m 35s</t>
  </si>
  <si>
    <t>1h 42m 21s</t>
  </si>
  <si>
    <t xml:space="preserve">Jenisa Lauren </t>
  </si>
  <si>
    <t>082273266215</t>
  </si>
  <si>
    <t>jenisa.lauren@students.mikroskil.ac.id</t>
  </si>
  <si>
    <t>1h 37m 19s</t>
  </si>
  <si>
    <t>1h 33m 6s</t>
  </si>
  <si>
    <t>1h 43m 7s</t>
  </si>
  <si>
    <t xml:space="preserve">Pauline Angelicca Grechen </t>
  </si>
  <si>
    <t>081314081407</t>
  </si>
  <si>
    <t>pauline.angelicca@students.mikroskil.ac.id</t>
  </si>
  <si>
    <t>1h 47m 39s</t>
  </si>
  <si>
    <t>1h 24m 8s</t>
  </si>
  <si>
    <t>49m 8s</t>
  </si>
  <si>
    <t>Jonathan Felix Fubrianto</t>
  </si>
  <si>
    <t>088807824924</t>
  </si>
  <si>
    <t>jonathan.felix@students.mikroskil.ac.id</t>
  </si>
  <si>
    <t>1h 31m 38s</t>
  </si>
  <si>
    <t>1h 32m 35s</t>
  </si>
  <si>
    <t>52m 47s</t>
  </si>
  <si>
    <t>1h 29m 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</si>
</sst>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 applyFill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9" fontId="0" fillId="0" borderId="0" xfId="1" applyFont="1" applyFill="1" applyProtection="1"/>
    <xf numFmtId="0" fontId="2" fillId="0" borderId="0" xfId="0" applyFont="1" applyFill="1" applyProtection="1"/>
    <xf numFmtId="0" fontId="1" fillId="0" borderId="0" xfId="0" applyFont="1" applyFill="1" applyProtection="1"/>
    <xf numFmtId="9" fontId="3" fillId="0" borderId="0" xfId="0" applyNumberFormat="1" applyFont="1" applyAlignment="1" applyProtection="1">
      <alignment horizontal="left"/>
      <protection locked="0"/>
    </xf>
    <xf numFmtId="164" fontId="1" fillId="0" borderId="0" xfId="0" applyNumberFormat="1" applyFont="1"/>
    <xf numFmtId="0" fontId="1" fillId="0" borderId="0" xfId="0" applyFont="1"/>
    <xf numFmtId="9" fontId="0" fillId="0" borderId="1" xfId="0" applyNumberFormat="1" applyFill="1" applyBorder="1" applyProtection="1"/>
    <xf numFmtId="9" fontId="0" fillId="0" borderId="2" xfId="0" applyNumberFormat="1" applyFill="1" applyBorder="1" applyProtection="1"/>
    <xf numFmtId="9" fontId="0" fillId="0" borderId="2" xfId="0" applyNumberFormat="1" applyFill="1" applyBorder="1" applyAlignment="1" applyProtection="1">
      <alignment horizontal="left"/>
    </xf>
    <xf numFmtId="0" fontId="0" fillId="0" borderId="2" xfId="0" applyFill="1" applyBorder="1" applyProtection="1"/>
    <xf numFmtId="0" fontId="2" fillId="0" borderId="2" xfId="0" applyFont="1" applyFill="1" applyBorder="1" applyProtection="1"/>
    <xf numFmtId="0" fontId="0" fillId="0" borderId="3" xfId="0" applyFill="1" applyBorder="1" applyProtection="1"/>
    <xf numFmtId="0" fontId="4" fillId="2" borderId="0" xfId="0" applyFont="1" applyFill="1" applyProtection="1">
      <protection locked="0"/>
    </xf>
    <xf numFmtId="9" fontId="1" fillId="0" borderId="0" xfId="1" applyFont="1" applyFill="1" applyProtection="1"/>
    <xf numFmtId="0" fontId="1" fillId="0" borderId="0" xfId="0" applyFont="1" applyFill="1" applyAlignment="1" applyProtection="1">
      <alignment horizontal="left"/>
    </xf>
    <xf numFmtId="0" fontId="1" fillId="0" borderId="4" xfId="0" applyFont="1" applyFill="1" applyBorder="1" applyProtection="1"/>
    <xf numFmtId="0" fontId="1" fillId="0" borderId="5" xfId="0" applyFont="1" applyFill="1" applyBorder="1" applyProtection="1"/>
    <xf numFmtId="0" fontId="0" fillId="3" borderId="0" xfId="0" applyFill="1" applyProtection="1"/>
    <xf numFmtId="0" fontId="1" fillId="0" borderId="4" xfId="0" applyFont="1" applyFill="1" applyBorder="1" applyAlignment="1" applyProtection="1">
      <alignment horizontal="left"/>
    </xf>
    <xf numFmtId="9" fontId="1" fillId="0" borderId="0" xfId="1" applyFont="1" applyFill="1" applyBorder="1" applyAlignment="1" applyProtection="1">
      <alignment horizontal="left"/>
    </xf>
    <xf numFmtId="0" fontId="0" fillId="0" borderId="5" xfId="0" applyBorder="1" applyProtection="1">
      <protection locked="0"/>
    </xf>
    <xf numFmtId="0" fontId="5" fillId="0" borderId="0" xfId="2" applyFill="1" applyProtection="1"/>
    <xf numFmtId="0" fontId="6" fillId="0" borderId="5" xfId="0" applyFont="1" applyBorder="1" applyProtection="1">
      <protection locked="0"/>
    </xf>
    <xf numFmtId="0" fontId="2" fillId="0" borderId="0" xfId="0" applyFont="1" applyFill="1" applyAlignment="1" applyProtection="1">
      <alignment horizontal="left"/>
    </xf>
    <xf numFmtId="9" fontId="2" fillId="0" borderId="0" xfId="1" applyFont="1" applyFill="1" applyProtection="1"/>
    <xf numFmtId="0" fontId="0" fillId="3" borderId="0" xfId="0" applyFill="1" applyAlignment="1" applyProtection="1">
      <alignment horizontal="left"/>
    </xf>
    <xf numFmtId="0" fontId="1" fillId="3" borderId="0" xfId="0" applyFont="1" applyFill="1" applyProtection="1"/>
    <xf numFmtId="9" fontId="0" fillId="3" borderId="0" xfId="1" applyFont="1" applyFill="1" applyProtection="1"/>
    <xf numFmtId="0" fontId="7" fillId="0" borderId="5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0" fillId="2" borderId="0" xfId="0" applyFill="1" applyAlignment="1" applyProtection="1">
      <alignment horizontal="left"/>
    </xf>
    <xf numFmtId="0" fontId="2" fillId="2" borderId="0" xfId="0" applyFont="1" applyFill="1" applyAlignment="1" applyProtection="1">
      <alignment horizontal="left"/>
    </xf>
    <xf numFmtId="0" fontId="0" fillId="4" borderId="0" xfId="0" applyFill="1" applyProtection="1"/>
    <xf numFmtId="0" fontId="0" fillId="5" borderId="0" xfId="0" applyFill="1" applyAlignment="1" applyProtection="1">
      <alignment horizontal="left"/>
    </xf>
    <xf numFmtId="0" fontId="0" fillId="0" borderId="6" xfId="0" applyFill="1" applyBorder="1" applyProtection="1"/>
    <xf numFmtId="0" fontId="0" fillId="0" borderId="6" xfId="0" applyFill="1" applyBorder="1" applyAlignment="1" applyProtection="1">
      <alignment horizontal="left"/>
    </xf>
    <xf numFmtId="0" fontId="6" fillId="0" borderId="7" xfId="0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chard.lim@students.mikroskil.ac.id" TargetMode="External"/><Relationship Id="rId1" Type="http://schemas.openxmlformats.org/officeDocument/2006/relationships/hyperlink" Target="mailto:221111701@students.mikroskil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6CAA-92EA-46A2-8509-84347BB7FEC4}">
  <dimension ref="A1:X69"/>
  <sheetViews>
    <sheetView tabSelected="1" showRuler="0" zoomScaleNormal="100" workbookViewId="0">
      <selection activeCell="A10" sqref="A10:XFD10"/>
    </sheetView>
  </sheetViews>
  <sheetFormatPr defaultRowHeight="14.5" x14ac:dyDescent="0.35"/>
  <cols>
    <col min="1" max="1" width="4.36328125" style="1" customWidth="1"/>
    <col min="2" max="2" width="22.90625" style="2" bestFit="1" customWidth="1"/>
    <col min="3" max="3" width="23.26953125" style="1" bestFit="1" customWidth="1"/>
    <col min="4" max="4" width="17.08984375" style="1" bestFit="1" customWidth="1"/>
    <col min="5" max="5" width="39.36328125" style="1" bestFit="1" customWidth="1"/>
    <col min="6" max="7" width="6.90625" style="1" customWidth="1"/>
    <col min="8" max="11" width="10.26953125" style="1" bestFit="1" customWidth="1"/>
    <col min="12" max="12" width="7.7265625" style="1" bestFit="1" customWidth="1"/>
    <col min="13" max="14" width="10.26953125" style="1" bestFit="1" customWidth="1"/>
    <col min="15" max="15" width="9.54296875" style="3" bestFit="1" customWidth="1"/>
    <col min="16" max="16" width="7.08984375" style="2" bestFit="1" customWidth="1"/>
    <col min="17" max="17" width="13.1796875" style="1" bestFit="1" customWidth="1"/>
    <col min="18" max="18" width="5.26953125" style="1" bestFit="1" customWidth="1"/>
    <col min="19" max="19" width="7.90625" style="1" bestFit="1" customWidth="1"/>
    <col min="20" max="20" width="9.54296875" style="1" bestFit="1" customWidth="1"/>
    <col min="21" max="21" width="8.7265625" style="2"/>
    <col min="22" max="22" width="12.26953125" style="1" bestFit="1" customWidth="1"/>
    <col min="23" max="23" width="8.7265625" style="4"/>
    <col min="24" max="16384" width="8.7265625" style="1"/>
  </cols>
  <sheetData>
    <row r="1" spans="1:24" x14ac:dyDescent="0.35">
      <c r="A1" s="1" t="s">
        <v>0</v>
      </c>
      <c r="B1" s="2" t="s">
        <v>1</v>
      </c>
    </row>
    <row r="2" spans="1:24" x14ac:dyDescent="0.35">
      <c r="A2" s="1" t="s">
        <v>2</v>
      </c>
      <c r="B2" s="2" t="s">
        <v>3</v>
      </c>
    </row>
    <row r="3" spans="1:24" x14ac:dyDescent="0.35">
      <c r="A3" s="1" t="s">
        <v>4</v>
      </c>
      <c r="B3" s="2" t="s">
        <v>5</v>
      </c>
    </row>
    <row r="4" spans="1:24" x14ac:dyDescent="0.35">
      <c r="A4" s="1" t="s">
        <v>6</v>
      </c>
      <c r="B4" s="2" t="s">
        <v>7</v>
      </c>
    </row>
    <row r="5" spans="1:24" x14ac:dyDescent="0.35">
      <c r="A5" s="1" t="s">
        <v>8</v>
      </c>
      <c r="B5" s="2">
        <v>2024</v>
      </c>
    </row>
    <row r="6" spans="1:24" x14ac:dyDescent="0.35">
      <c r="A6" s="1" t="s">
        <v>9</v>
      </c>
      <c r="B6" s="2" t="s">
        <v>10</v>
      </c>
    </row>
    <row r="7" spans="1:24" x14ac:dyDescent="0.35">
      <c r="A7" s="1" t="s">
        <v>11</v>
      </c>
      <c r="B7" s="2" t="s">
        <v>12</v>
      </c>
    </row>
    <row r="8" spans="1:24" ht="15" thickBot="1" x14ac:dyDescent="0.4">
      <c r="A8" s="1" t="s">
        <v>13</v>
      </c>
      <c r="B8" s="2" t="s">
        <v>14</v>
      </c>
      <c r="T8" s="5" t="s">
        <v>15</v>
      </c>
    </row>
    <row r="9" spans="1:24" x14ac:dyDescent="0.35">
      <c r="F9" s="6">
        <v>0.25</v>
      </c>
      <c r="G9" s="6">
        <v>0.25</v>
      </c>
      <c r="H9" s="7" t="s">
        <v>16</v>
      </c>
      <c r="I9" s="8" t="s">
        <v>17</v>
      </c>
      <c r="J9" t="s">
        <v>18</v>
      </c>
      <c r="K9" s="5" t="s">
        <v>19</v>
      </c>
      <c r="L9" t="s">
        <v>20</v>
      </c>
      <c r="M9" t="s">
        <v>21</v>
      </c>
      <c r="N9" s="5" t="s">
        <v>22</v>
      </c>
      <c r="Q9" s="9">
        <v>0.15</v>
      </c>
      <c r="R9" s="10"/>
      <c r="S9" s="10">
        <v>0.05</v>
      </c>
      <c r="T9" s="10">
        <v>0.15</v>
      </c>
      <c r="U9" s="11">
        <v>0.15</v>
      </c>
      <c r="V9" s="12"/>
      <c r="W9" s="13"/>
      <c r="X9" s="14"/>
    </row>
    <row r="10" spans="1:24" x14ac:dyDescent="0.35">
      <c r="A10" s="1" t="s">
        <v>23</v>
      </c>
      <c r="B10" s="2" t="s">
        <v>24</v>
      </c>
      <c r="C10" s="1" t="s">
        <v>25</v>
      </c>
      <c r="D10" s="1" t="s">
        <v>26</v>
      </c>
      <c r="E10" s="1" t="s">
        <v>27</v>
      </c>
      <c r="F10" s="15" t="s">
        <v>28</v>
      </c>
      <c r="G10" s="15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5" t="s">
        <v>34</v>
      </c>
      <c r="M10" s="5" t="s">
        <v>35</v>
      </c>
      <c r="N10" s="5" t="s">
        <v>36</v>
      </c>
      <c r="O10" s="16" t="s">
        <v>37</v>
      </c>
      <c r="P10" s="17" t="s">
        <v>38</v>
      </c>
      <c r="Q10" s="18" t="s">
        <v>39</v>
      </c>
      <c r="R10" s="5" t="s">
        <v>40</v>
      </c>
      <c r="S10" s="5" t="s">
        <v>41</v>
      </c>
      <c r="T10" s="5" t="s">
        <v>42</v>
      </c>
      <c r="U10" s="17" t="s">
        <v>43</v>
      </c>
      <c r="V10" s="5" t="s">
        <v>44</v>
      </c>
      <c r="W10" s="4" t="s">
        <v>45</v>
      </c>
      <c r="X10" s="19" t="s">
        <v>46</v>
      </c>
    </row>
    <row r="11" spans="1:24" x14ac:dyDescent="0.35">
      <c r="A11" s="1">
        <v>1</v>
      </c>
      <c r="B11" s="2">
        <v>211112346</v>
      </c>
      <c r="C11" s="20" t="s">
        <v>47</v>
      </c>
      <c r="D11" s="1" t="s">
        <v>48</v>
      </c>
      <c r="E11" s="1" t="s">
        <v>49</v>
      </c>
      <c r="F11" s="1">
        <v>90</v>
      </c>
      <c r="G11" s="1">
        <v>86</v>
      </c>
      <c r="H11" s="1" t="s">
        <v>50</v>
      </c>
      <c r="I11" s="1" t="s">
        <v>51</v>
      </c>
      <c r="J11" s="1" t="s">
        <v>52</v>
      </c>
      <c r="K11" s="1" t="s">
        <v>52</v>
      </c>
      <c r="L11" s="1" t="s">
        <v>53</v>
      </c>
      <c r="M11" s="1" t="s">
        <v>54</v>
      </c>
      <c r="N11" s="1" t="s">
        <v>55</v>
      </c>
      <c r="O11" s="3">
        <v>0.93</v>
      </c>
      <c r="Q11" s="21">
        <v>31</v>
      </c>
      <c r="R11" s="22">
        <v>0.5714285714285714</v>
      </c>
      <c r="S11" s="1">
        <v>90</v>
      </c>
      <c r="T11" s="1">
        <v>96</v>
      </c>
      <c r="U11" s="2">
        <v>75</v>
      </c>
      <c r="V11" s="1">
        <f t="shared" ref="V11:V55" si="0">($F$9*F11)+($G$9*G11)+($Q$9*Q11)+($S$9*S11)+($T$9*T11)+($U$9*U11)</f>
        <v>78.8</v>
      </c>
      <c r="W11" s="1">
        <f>ROUNDUP(V11,0)</f>
        <v>79</v>
      </c>
      <c r="X11" s="23" t="str">
        <f>IF(V11&gt;=85,"A",IF(V11&gt;=80,"A-",IF(V11&gt;=75,"B+",IF(V11&gt;=71,"B",IF(V11&gt;=68,"B-",IF(V11&gt;=58,"C","E"))))))</f>
        <v>B+</v>
      </c>
    </row>
    <row r="12" spans="1:24" x14ac:dyDescent="0.35">
      <c r="A12" s="1">
        <v>2</v>
      </c>
      <c r="B12" s="2">
        <v>221111701</v>
      </c>
      <c r="C12" s="1" t="s">
        <v>56</v>
      </c>
      <c r="D12" s="1" t="s">
        <v>57</v>
      </c>
      <c r="E12" s="24" t="s">
        <v>58</v>
      </c>
      <c r="F12" s="1">
        <v>80</v>
      </c>
      <c r="G12" s="1">
        <v>82</v>
      </c>
      <c r="H12" s="1" t="s">
        <v>59</v>
      </c>
      <c r="I12" s="1" t="s">
        <v>60</v>
      </c>
      <c r="J12" s="1" t="s">
        <v>61</v>
      </c>
      <c r="K12" s="1" t="s">
        <v>61</v>
      </c>
      <c r="L12" s="1" t="s">
        <v>62</v>
      </c>
      <c r="M12" s="1" t="s">
        <v>63</v>
      </c>
      <c r="N12" s="1" t="s">
        <v>64</v>
      </c>
      <c r="O12" s="3">
        <v>0.8</v>
      </c>
      <c r="Q12" s="21">
        <v>57</v>
      </c>
      <c r="R12" s="22">
        <v>0.5714285714285714</v>
      </c>
      <c r="S12" s="1">
        <v>60</v>
      </c>
      <c r="T12" s="1">
        <v>84</v>
      </c>
      <c r="U12" s="2">
        <v>100</v>
      </c>
      <c r="V12" s="1">
        <f t="shared" si="0"/>
        <v>79.649999999999991</v>
      </c>
      <c r="W12" s="1">
        <f t="shared" ref="W12:W69" si="1">ROUNDUP(V12,0)</f>
        <v>80</v>
      </c>
      <c r="X12" s="23" t="str">
        <f>IF(V12&gt;=85,"A",IF(V12&gt;=80,"A-",IF(V12&gt;=75,"B+",IF(V12&gt;=71,"B",IF(V12&gt;=68,"B-",IF(V12&gt;=58,"C","E"))))))</f>
        <v>B+</v>
      </c>
    </row>
    <row r="13" spans="1:24" x14ac:dyDescent="0.35">
      <c r="A13" s="1">
        <v>3</v>
      </c>
      <c r="B13" s="2">
        <v>221112508</v>
      </c>
      <c r="C13" s="1" t="s">
        <v>65</v>
      </c>
      <c r="D13" s="1" t="s">
        <v>66</v>
      </c>
      <c r="E13" s="1" t="s">
        <v>67</v>
      </c>
      <c r="F13" s="1">
        <v>93</v>
      </c>
      <c r="G13" s="1">
        <v>88</v>
      </c>
      <c r="H13" s="1" t="s">
        <v>68</v>
      </c>
      <c r="I13" s="20" t="s">
        <v>69</v>
      </c>
      <c r="J13" s="1" t="s">
        <v>70</v>
      </c>
      <c r="K13" s="1" t="s">
        <v>70</v>
      </c>
      <c r="L13" s="1" t="s">
        <v>71</v>
      </c>
      <c r="M13" s="1" t="s">
        <v>72</v>
      </c>
      <c r="N13" s="1" t="s">
        <v>73</v>
      </c>
      <c r="O13" s="3">
        <v>0.87</v>
      </c>
      <c r="Q13" s="21">
        <v>100</v>
      </c>
      <c r="R13" s="22">
        <v>1</v>
      </c>
      <c r="S13" s="1">
        <v>60</v>
      </c>
      <c r="T13" s="1">
        <v>94</v>
      </c>
      <c r="U13" s="2">
        <v>97</v>
      </c>
      <c r="V13" s="1">
        <f t="shared" si="0"/>
        <v>91.899999999999991</v>
      </c>
      <c r="W13" s="1">
        <f t="shared" si="1"/>
        <v>92</v>
      </c>
      <c r="X13" s="25" t="str">
        <f t="shared" ref="X13:X69" si="2">IF(V13&gt;=85,"A",IF(V13&gt;=80,"A-",IF(V13&gt;=75,"B+",IF(V13&gt;=71,"B",IF(V13&gt;=68,"B-",IF(V13&gt;=58,"C","E"))))))</f>
        <v>A</v>
      </c>
    </row>
    <row r="14" spans="1:24" s="4" customFormat="1" x14ac:dyDescent="0.35">
      <c r="A14" s="4">
        <v>4</v>
      </c>
      <c r="B14" s="26">
        <v>221112742</v>
      </c>
      <c r="C14" s="4" t="s">
        <v>74</v>
      </c>
      <c r="D14" s="4" t="s">
        <v>75</v>
      </c>
      <c r="E14" s="4" t="s">
        <v>76</v>
      </c>
      <c r="F14" s="1">
        <v>72</v>
      </c>
      <c r="G14" s="1">
        <v>86</v>
      </c>
      <c r="I14" s="4" t="s">
        <v>77</v>
      </c>
      <c r="O14" s="27">
        <v>0.6</v>
      </c>
      <c r="P14" s="26"/>
      <c r="Q14" s="21">
        <v>29</v>
      </c>
      <c r="R14" s="22">
        <v>0.2857142857142857</v>
      </c>
      <c r="U14" s="2"/>
      <c r="V14" s="1">
        <f t="shared" si="0"/>
        <v>43.85</v>
      </c>
      <c r="W14" s="1">
        <f t="shared" si="1"/>
        <v>44</v>
      </c>
      <c r="X14" s="23" t="str">
        <f t="shared" si="2"/>
        <v>E</v>
      </c>
    </row>
    <row r="15" spans="1:24" s="20" customFormat="1" x14ac:dyDescent="0.35">
      <c r="A15" s="20">
        <v>5</v>
      </c>
      <c r="B15" s="28">
        <v>221113477</v>
      </c>
      <c r="C15" s="29" t="s">
        <v>78</v>
      </c>
      <c r="D15" s="20" t="s">
        <v>79</v>
      </c>
      <c r="E15" s="20" t="s">
        <v>80</v>
      </c>
      <c r="F15" s="1">
        <v>84</v>
      </c>
      <c r="G15" s="1">
        <v>82</v>
      </c>
      <c r="H15" s="20" t="s">
        <v>81</v>
      </c>
      <c r="J15" s="20" t="s">
        <v>82</v>
      </c>
      <c r="K15" s="20" t="s">
        <v>82</v>
      </c>
      <c r="L15" s="20" t="s">
        <v>83</v>
      </c>
      <c r="M15" s="20" t="s">
        <v>84</v>
      </c>
      <c r="N15" s="20" t="s">
        <v>85</v>
      </c>
      <c r="O15" s="30">
        <v>0.8</v>
      </c>
      <c r="P15" s="28"/>
      <c r="Q15" s="21">
        <v>14</v>
      </c>
      <c r="R15" s="22">
        <v>0.14285714285714285</v>
      </c>
      <c r="S15" s="20">
        <v>90</v>
      </c>
      <c r="T15" s="20">
        <v>100</v>
      </c>
      <c r="U15" s="28">
        <v>90</v>
      </c>
      <c r="V15" s="1">
        <f t="shared" si="0"/>
        <v>76.599999999999994</v>
      </c>
      <c r="W15" s="1">
        <f t="shared" si="1"/>
        <v>77</v>
      </c>
      <c r="X15" s="23" t="str">
        <f t="shared" si="2"/>
        <v>B+</v>
      </c>
    </row>
    <row r="16" spans="1:24" x14ac:dyDescent="0.35">
      <c r="A16" s="1">
        <v>6</v>
      </c>
      <c r="B16" s="2">
        <v>241110007</v>
      </c>
      <c r="C16" s="20" t="s">
        <v>86</v>
      </c>
      <c r="D16" s="1" t="s">
        <v>87</v>
      </c>
      <c r="E16" s="1" t="s">
        <v>88</v>
      </c>
      <c r="F16" s="1">
        <v>93</v>
      </c>
      <c r="G16" s="1">
        <v>91</v>
      </c>
      <c r="H16" s="1" t="s">
        <v>89</v>
      </c>
      <c r="I16" s="1" t="s">
        <v>90</v>
      </c>
      <c r="J16" s="20" t="s">
        <v>91</v>
      </c>
      <c r="K16" s="20" t="s">
        <v>91</v>
      </c>
      <c r="L16" s="1" t="s">
        <v>92</v>
      </c>
      <c r="M16" s="1" t="s">
        <v>93</v>
      </c>
      <c r="N16" s="1" t="s">
        <v>94</v>
      </c>
      <c r="O16" s="3">
        <v>1</v>
      </c>
      <c r="Q16" s="21">
        <v>72</v>
      </c>
      <c r="R16" s="22">
        <v>0.7142857142857143</v>
      </c>
      <c r="S16" s="1">
        <v>100</v>
      </c>
      <c r="T16" s="1">
        <v>98</v>
      </c>
      <c r="U16" s="2">
        <v>100</v>
      </c>
      <c r="V16" s="1">
        <f t="shared" si="0"/>
        <v>91.5</v>
      </c>
      <c r="W16" s="1">
        <f t="shared" si="1"/>
        <v>92</v>
      </c>
      <c r="X16" s="31" t="str">
        <f t="shared" si="2"/>
        <v>A</v>
      </c>
    </row>
    <row r="17" spans="1:24" x14ac:dyDescent="0.35">
      <c r="A17" s="1">
        <v>7</v>
      </c>
      <c r="B17" s="2">
        <v>241110043</v>
      </c>
      <c r="C17" s="1" t="s">
        <v>95</v>
      </c>
      <c r="D17" s="1" t="s">
        <v>96</v>
      </c>
      <c r="E17" s="1" t="s">
        <v>97</v>
      </c>
      <c r="F17" s="1">
        <v>93</v>
      </c>
      <c r="G17" s="1">
        <v>91</v>
      </c>
      <c r="H17" s="1" t="s">
        <v>98</v>
      </c>
      <c r="I17" s="1" t="s">
        <v>99</v>
      </c>
      <c r="J17" s="1" t="s">
        <v>100</v>
      </c>
      <c r="K17" s="1" t="s">
        <v>100</v>
      </c>
      <c r="L17" s="1" t="s">
        <v>101</v>
      </c>
      <c r="M17" s="1" t="s">
        <v>102</v>
      </c>
      <c r="N17" s="1" t="s">
        <v>103</v>
      </c>
      <c r="O17" s="3">
        <v>1</v>
      </c>
      <c r="Q17" s="21">
        <v>22</v>
      </c>
      <c r="R17" s="22">
        <v>0.42857142857142855</v>
      </c>
      <c r="S17" s="1">
        <v>100</v>
      </c>
      <c r="T17" s="1">
        <v>98</v>
      </c>
      <c r="U17" s="2">
        <v>100</v>
      </c>
      <c r="V17" s="1">
        <f t="shared" si="0"/>
        <v>84</v>
      </c>
      <c r="W17" s="1">
        <f t="shared" si="1"/>
        <v>84</v>
      </c>
      <c r="X17" s="32" t="str">
        <f t="shared" si="2"/>
        <v>A-</v>
      </c>
    </row>
    <row r="18" spans="1:24" x14ac:dyDescent="0.35">
      <c r="A18" s="1">
        <v>8</v>
      </c>
      <c r="B18" s="2">
        <v>241110083</v>
      </c>
      <c r="C18" s="1" t="s">
        <v>104</v>
      </c>
      <c r="D18" s="1" t="s">
        <v>105</v>
      </c>
      <c r="E18" s="1" t="s">
        <v>106</v>
      </c>
      <c r="F18" s="1">
        <v>89</v>
      </c>
      <c r="G18" s="1">
        <v>91</v>
      </c>
      <c r="H18" s="1" t="s">
        <v>107</v>
      </c>
      <c r="I18" s="1" t="s">
        <v>108</v>
      </c>
      <c r="J18" s="1" t="s">
        <v>109</v>
      </c>
      <c r="K18" s="1" t="s">
        <v>109</v>
      </c>
      <c r="L18" s="1" t="s">
        <v>110</v>
      </c>
      <c r="M18" s="1" t="s">
        <v>111</v>
      </c>
      <c r="N18" s="1" t="s">
        <v>112</v>
      </c>
      <c r="O18" s="3">
        <v>0.87</v>
      </c>
      <c r="Q18" s="21">
        <v>31</v>
      </c>
      <c r="R18" s="22">
        <v>0.5714285714285714</v>
      </c>
      <c r="S18" s="1">
        <v>90</v>
      </c>
      <c r="T18" s="1">
        <v>98</v>
      </c>
      <c r="U18" s="2">
        <v>70</v>
      </c>
      <c r="V18" s="1">
        <f t="shared" si="0"/>
        <v>79.349999999999994</v>
      </c>
      <c r="W18" s="1">
        <f t="shared" si="1"/>
        <v>80</v>
      </c>
      <c r="X18" s="23" t="str">
        <f t="shared" si="2"/>
        <v>B+</v>
      </c>
    </row>
    <row r="19" spans="1:24" x14ac:dyDescent="0.35">
      <c r="A19" s="1">
        <v>9</v>
      </c>
      <c r="B19" s="2">
        <v>241110119</v>
      </c>
      <c r="C19" s="1" t="s">
        <v>113</v>
      </c>
      <c r="D19" s="1" t="s">
        <v>114</v>
      </c>
      <c r="E19" s="1" t="s">
        <v>115</v>
      </c>
      <c r="F19" s="1">
        <v>95</v>
      </c>
      <c r="G19" s="1">
        <v>92</v>
      </c>
      <c r="H19" s="1" t="s">
        <v>116</v>
      </c>
      <c r="I19" s="1" t="s">
        <v>117</v>
      </c>
      <c r="J19" s="1" t="s">
        <v>70</v>
      </c>
      <c r="K19" s="1" t="s">
        <v>70</v>
      </c>
      <c r="L19" s="1" t="s">
        <v>118</v>
      </c>
      <c r="M19" s="1" t="s">
        <v>119</v>
      </c>
      <c r="N19" s="1" t="s">
        <v>120</v>
      </c>
      <c r="O19" s="3">
        <v>1</v>
      </c>
      <c r="P19" s="33">
        <v>6</v>
      </c>
      <c r="Q19" s="21">
        <v>100</v>
      </c>
      <c r="R19" s="22">
        <v>1</v>
      </c>
      <c r="S19" s="1">
        <v>100</v>
      </c>
      <c r="T19" s="1">
        <v>98</v>
      </c>
      <c r="U19" s="2">
        <v>100</v>
      </c>
      <c r="V19" s="1">
        <f t="shared" si="0"/>
        <v>96.45</v>
      </c>
      <c r="W19" s="1">
        <f t="shared" si="1"/>
        <v>97</v>
      </c>
      <c r="X19" s="25" t="str">
        <f t="shared" si="2"/>
        <v>A</v>
      </c>
    </row>
    <row r="20" spans="1:24" x14ac:dyDescent="0.35">
      <c r="A20" s="1">
        <v>10</v>
      </c>
      <c r="B20" s="2">
        <v>241110144</v>
      </c>
      <c r="C20" s="20" t="s">
        <v>121</v>
      </c>
      <c r="D20" s="1" t="s">
        <v>122</v>
      </c>
      <c r="E20" s="1" t="s">
        <v>123</v>
      </c>
      <c r="F20" s="1">
        <v>89</v>
      </c>
      <c r="G20" s="1">
        <v>93</v>
      </c>
      <c r="H20" s="1" t="s">
        <v>124</v>
      </c>
      <c r="I20" s="1" t="s">
        <v>125</v>
      </c>
      <c r="J20" s="1" t="s">
        <v>126</v>
      </c>
      <c r="K20" s="1" t="s">
        <v>126</v>
      </c>
      <c r="L20" s="1" t="s">
        <v>127</v>
      </c>
      <c r="M20" s="1" t="s">
        <v>128</v>
      </c>
      <c r="N20" s="1" t="s">
        <v>129</v>
      </c>
      <c r="O20" s="3">
        <v>0.87</v>
      </c>
      <c r="Q20" s="21">
        <v>58</v>
      </c>
      <c r="R20" s="22">
        <v>0.7142857142857143</v>
      </c>
      <c r="S20" s="1">
        <v>100</v>
      </c>
      <c r="T20" s="1">
        <v>96</v>
      </c>
      <c r="U20" s="2">
        <v>100</v>
      </c>
      <c r="V20" s="1">
        <f t="shared" si="0"/>
        <v>88.6</v>
      </c>
      <c r="W20" s="1">
        <f t="shared" si="1"/>
        <v>89</v>
      </c>
      <c r="X20" s="32" t="str">
        <f t="shared" si="2"/>
        <v>A</v>
      </c>
    </row>
    <row r="21" spans="1:24" x14ac:dyDescent="0.35">
      <c r="A21" s="1">
        <v>11</v>
      </c>
      <c r="B21" s="2">
        <v>241110202</v>
      </c>
      <c r="C21" s="20" t="s">
        <v>130</v>
      </c>
      <c r="D21" s="1" t="s">
        <v>131</v>
      </c>
      <c r="E21" s="1" t="s">
        <v>132</v>
      </c>
      <c r="F21" s="1">
        <v>89</v>
      </c>
      <c r="G21" s="1">
        <v>89</v>
      </c>
      <c r="H21" s="1" t="s">
        <v>133</v>
      </c>
      <c r="I21" s="1" t="s">
        <v>134</v>
      </c>
      <c r="J21" s="1" t="s">
        <v>135</v>
      </c>
      <c r="K21" s="1" t="s">
        <v>135</v>
      </c>
      <c r="L21" s="1" t="s">
        <v>136</v>
      </c>
      <c r="M21" s="1" t="s">
        <v>137</v>
      </c>
      <c r="N21" s="1" t="s">
        <v>138</v>
      </c>
      <c r="O21" s="3">
        <v>1</v>
      </c>
      <c r="Q21" s="21">
        <v>100</v>
      </c>
      <c r="R21" s="22">
        <v>1</v>
      </c>
      <c r="S21" s="1">
        <v>100</v>
      </c>
      <c r="T21" s="1">
        <v>92</v>
      </c>
      <c r="U21" s="2">
        <v>100</v>
      </c>
      <c r="V21" s="1">
        <f t="shared" si="0"/>
        <v>93.3</v>
      </c>
      <c r="W21" s="1">
        <f t="shared" si="1"/>
        <v>94</v>
      </c>
      <c r="X21" s="25" t="str">
        <f t="shared" si="2"/>
        <v>A</v>
      </c>
    </row>
    <row r="22" spans="1:24" x14ac:dyDescent="0.35">
      <c r="A22" s="1">
        <v>12</v>
      </c>
      <c r="B22" s="2">
        <v>241110272</v>
      </c>
      <c r="C22" s="20" t="s">
        <v>139</v>
      </c>
      <c r="D22" s="1" t="s">
        <v>140</v>
      </c>
      <c r="E22" s="1" t="s">
        <v>141</v>
      </c>
      <c r="F22" s="1">
        <v>87</v>
      </c>
      <c r="G22" s="1">
        <v>90</v>
      </c>
      <c r="H22" s="1" t="s">
        <v>142</v>
      </c>
      <c r="I22" s="1" t="s">
        <v>143</v>
      </c>
      <c r="J22" s="1" t="s">
        <v>144</v>
      </c>
      <c r="K22" s="1" t="s">
        <v>144</v>
      </c>
      <c r="L22" s="1" t="s">
        <v>145</v>
      </c>
      <c r="O22" s="3">
        <v>0.87</v>
      </c>
      <c r="P22" s="33">
        <v>3</v>
      </c>
      <c r="Q22" s="21">
        <v>22</v>
      </c>
      <c r="R22" s="22">
        <v>0.5714285714285714</v>
      </c>
      <c r="S22" s="1">
        <v>75</v>
      </c>
      <c r="T22" s="1">
        <v>100</v>
      </c>
      <c r="U22" s="2">
        <v>100</v>
      </c>
      <c r="V22" s="1">
        <f t="shared" si="0"/>
        <v>81.3</v>
      </c>
      <c r="W22" s="4">
        <f t="shared" si="1"/>
        <v>82</v>
      </c>
      <c r="X22" s="32" t="str">
        <f t="shared" si="2"/>
        <v>A-</v>
      </c>
    </row>
    <row r="23" spans="1:24" x14ac:dyDescent="0.35">
      <c r="A23" s="1">
        <v>13</v>
      </c>
      <c r="B23" s="2">
        <v>241110310</v>
      </c>
      <c r="C23" s="1" t="s">
        <v>146</v>
      </c>
      <c r="D23" s="1" t="s">
        <v>147</v>
      </c>
      <c r="E23" s="24" t="s">
        <v>148</v>
      </c>
      <c r="F23" s="1">
        <v>91</v>
      </c>
      <c r="G23" s="1">
        <v>93</v>
      </c>
      <c r="H23" s="1" t="s">
        <v>149</v>
      </c>
      <c r="I23" s="1" t="s">
        <v>150</v>
      </c>
      <c r="J23" s="1" t="s">
        <v>151</v>
      </c>
      <c r="K23" s="1" t="s">
        <v>151</v>
      </c>
      <c r="L23" s="1" t="s">
        <v>152</v>
      </c>
      <c r="M23" s="1" t="s">
        <v>153</v>
      </c>
      <c r="N23" s="1" t="s">
        <v>154</v>
      </c>
      <c r="O23" s="3">
        <v>0.93</v>
      </c>
      <c r="Q23" s="21">
        <v>14</v>
      </c>
      <c r="R23" s="22">
        <v>0.14285714285714285</v>
      </c>
      <c r="S23" s="1">
        <v>90</v>
      </c>
      <c r="T23" s="1">
        <v>94</v>
      </c>
      <c r="U23" s="2">
        <v>100</v>
      </c>
      <c r="V23" s="1">
        <f t="shared" si="0"/>
        <v>81.7</v>
      </c>
      <c r="W23" s="4">
        <f t="shared" si="1"/>
        <v>82</v>
      </c>
      <c r="X23" s="23" t="str">
        <f t="shared" si="2"/>
        <v>A-</v>
      </c>
    </row>
    <row r="24" spans="1:24" x14ac:dyDescent="0.35">
      <c r="A24" s="1">
        <v>14</v>
      </c>
      <c r="B24" s="2">
        <v>241110357</v>
      </c>
      <c r="C24" s="20" t="s">
        <v>155</v>
      </c>
      <c r="D24" s="1" t="s">
        <v>156</v>
      </c>
      <c r="E24" s="1" t="s">
        <v>157</v>
      </c>
      <c r="F24" s="1">
        <v>87</v>
      </c>
      <c r="G24" s="1">
        <v>90</v>
      </c>
      <c r="H24" s="1" t="s">
        <v>158</v>
      </c>
      <c r="I24" s="1" t="s">
        <v>159</v>
      </c>
      <c r="J24" s="1" t="s">
        <v>160</v>
      </c>
      <c r="K24" s="1" t="s">
        <v>160</v>
      </c>
      <c r="L24" s="1" t="s">
        <v>161</v>
      </c>
      <c r="M24" s="1" t="s">
        <v>162</v>
      </c>
      <c r="N24" s="1" t="s">
        <v>163</v>
      </c>
      <c r="O24" s="3">
        <v>0.93</v>
      </c>
      <c r="Q24" s="21">
        <v>86</v>
      </c>
      <c r="R24" s="22">
        <v>0.8571428571428571</v>
      </c>
      <c r="S24" s="1">
        <v>90</v>
      </c>
      <c r="T24" s="1">
        <v>90</v>
      </c>
      <c r="U24" s="2">
        <v>100</v>
      </c>
      <c r="V24" s="1">
        <f t="shared" si="0"/>
        <v>90.15</v>
      </c>
      <c r="W24" s="1">
        <f t="shared" si="1"/>
        <v>91</v>
      </c>
      <c r="X24" s="25" t="str">
        <f t="shared" si="2"/>
        <v>A</v>
      </c>
    </row>
    <row r="25" spans="1:24" x14ac:dyDescent="0.35">
      <c r="A25" s="1">
        <v>15</v>
      </c>
      <c r="B25" s="2">
        <v>241110385</v>
      </c>
      <c r="C25" s="20" t="s">
        <v>164</v>
      </c>
      <c r="D25" s="1" t="s">
        <v>165</v>
      </c>
      <c r="E25" s="1" t="s">
        <v>166</v>
      </c>
      <c r="F25" s="1">
        <v>93</v>
      </c>
      <c r="G25" s="1">
        <v>91</v>
      </c>
      <c r="H25" s="1" t="s">
        <v>167</v>
      </c>
      <c r="I25" s="1" t="s">
        <v>168</v>
      </c>
      <c r="J25" s="1" t="s">
        <v>169</v>
      </c>
      <c r="K25" s="1" t="s">
        <v>169</v>
      </c>
      <c r="L25" s="1" t="s">
        <v>170</v>
      </c>
      <c r="M25" s="1" t="s">
        <v>171</v>
      </c>
      <c r="N25" s="1" t="s">
        <v>172</v>
      </c>
      <c r="O25" s="3">
        <v>0.93</v>
      </c>
      <c r="Q25" s="21">
        <v>86</v>
      </c>
      <c r="R25" s="22">
        <v>0.8571428571428571</v>
      </c>
      <c r="S25" s="1">
        <v>90</v>
      </c>
      <c r="T25" s="1">
        <v>98</v>
      </c>
      <c r="U25" s="2">
        <v>100</v>
      </c>
      <c r="V25" s="1">
        <f t="shared" si="0"/>
        <v>93.1</v>
      </c>
      <c r="W25" s="1">
        <f t="shared" si="1"/>
        <v>94</v>
      </c>
      <c r="X25" s="25" t="str">
        <f t="shared" si="2"/>
        <v>A</v>
      </c>
    </row>
    <row r="26" spans="1:24" x14ac:dyDescent="0.35">
      <c r="A26" s="1">
        <v>16</v>
      </c>
      <c r="B26" s="2">
        <v>241110411</v>
      </c>
      <c r="C26" s="20" t="s">
        <v>173</v>
      </c>
      <c r="D26" s="1" t="s">
        <v>174</v>
      </c>
      <c r="E26" s="1" t="s">
        <v>175</v>
      </c>
      <c r="F26" s="1">
        <v>89</v>
      </c>
      <c r="G26" s="1">
        <v>89</v>
      </c>
      <c r="H26" s="1" t="s">
        <v>176</v>
      </c>
      <c r="I26" s="1" t="s">
        <v>177</v>
      </c>
      <c r="J26" s="1" t="s">
        <v>178</v>
      </c>
      <c r="K26" s="1" t="s">
        <v>178</v>
      </c>
      <c r="L26" s="1" t="s">
        <v>179</v>
      </c>
      <c r="M26" s="1" t="s">
        <v>180</v>
      </c>
      <c r="N26" s="1" t="s">
        <v>181</v>
      </c>
      <c r="O26" s="3">
        <v>1</v>
      </c>
      <c r="Q26" s="21">
        <v>100</v>
      </c>
      <c r="R26" s="22">
        <v>1</v>
      </c>
      <c r="S26" s="1">
        <v>100</v>
      </c>
      <c r="T26" s="1">
        <v>92</v>
      </c>
      <c r="U26" s="2">
        <v>100</v>
      </c>
      <c r="V26" s="1">
        <f t="shared" si="0"/>
        <v>93.3</v>
      </c>
      <c r="W26" s="1">
        <f t="shared" si="1"/>
        <v>94</v>
      </c>
      <c r="X26" s="25" t="str">
        <f t="shared" si="2"/>
        <v>A</v>
      </c>
    </row>
    <row r="27" spans="1:24" x14ac:dyDescent="0.35">
      <c r="A27" s="1">
        <v>17</v>
      </c>
      <c r="B27" s="2">
        <v>241110423</v>
      </c>
      <c r="C27" s="1" t="s">
        <v>182</v>
      </c>
      <c r="D27" s="1" t="s">
        <v>183</v>
      </c>
      <c r="E27" s="1" t="s">
        <v>184</v>
      </c>
      <c r="F27" s="1">
        <v>90</v>
      </c>
      <c r="G27" s="1">
        <v>92</v>
      </c>
      <c r="H27" s="1" t="s">
        <v>185</v>
      </c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190</v>
      </c>
      <c r="O27" s="3">
        <v>1</v>
      </c>
      <c r="Q27" s="21">
        <v>100</v>
      </c>
      <c r="R27" s="22">
        <v>1</v>
      </c>
      <c r="S27" s="1">
        <v>100</v>
      </c>
      <c r="T27" s="1">
        <v>100</v>
      </c>
      <c r="U27" s="2">
        <v>100</v>
      </c>
      <c r="V27" s="1">
        <f t="shared" si="0"/>
        <v>95.5</v>
      </c>
      <c r="W27" s="1">
        <f t="shared" si="1"/>
        <v>96</v>
      </c>
      <c r="X27" s="25" t="str">
        <f t="shared" si="2"/>
        <v>A</v>
      </c>
    </row>
    <row r="28" spans="1:24" x14ac:dyDescent="0.35">
      <c r="A28" s="1">
        <v>18</v>
      </c>
      <c r="B28" s="2">
        <v>241110442</v>
      </c>
      <c r="C28" s="20" t="s">
        <v>191</v>
      </c>
      <c r="D28" s="1" t="s">
        <v>192</v>
      </c>
      <c r="E28" s="1" t="s">
        <v>193</v>
      </c>
      <c r="F28" s="1">
        <v>88</v>
      </c>
      <c r="G28" s="1">
        <v>88</v>
      </c>
      <c r="H28" s="1" t="s">
        <v>100</v>
      </c>
      <c r="I28" s="1" t="s">
        <v>194</v>
      </c>
      <c r="J28" s="1" t="s">
        <v>195</v>
      </c>
      <c r="K28" s="1" t="s">
        <v>195</v>
      </c>
      <c r="L28" s="1" t="s">
        <v>196</v>
      </c>
      <c r="M28" s="1" t="s">
        <v>197</v>
      </c>
      <c r="N28" s="1" t="s">
        <v>198</v>
      </c>
      <c r="O28" s="3">
        <v>1</v>
      </c>
      <c r="Q28" s="21">
        <v>29</v>
      </c>
      <c r="R28" s="22">
        <v>0.2857142857142857</v>
      </c>
      <c r="S28" s="1">
        <v>90</v>
      </c>
      <c r="T28" s="1">
        <v>100</v>
      </c>
      <c r="U28" s="2">
        <v>100</v>
      </c>
      <c r="V28" s="1">
        <f t="shared" si="0"/>
        <v>82.85</v>
      </c>
      <c r="W28" s="4">
        <f t="shared" si="1"/>
        <v>83</v>
      </c>
      <c r="X28" s="23" t="str">
        <f t="shared" si="2"/>
        <v>A-</v>
      </c>
    </row>
    <row r="29" spans="1:24" x14ac:dyDescent="0.35">
      <c r="A29" s="1">
        <v>19</v>
      </c>
      <c r="B29" s="2">
        <v>241110476</v>
      </c>
      <c r="C29" s="20" t="s">
        <v>199</v>
      </c>
      <c r="D29" s="1" t="s">
        <v>200</v>
      </c>
      <c r="E29" s="1" t="s">
        <v>201</v>
      </c>
      <c r="F29" s="1">
        <v>92</v>
      </c>
      <c r="G29" s="1">
        <v>89</v>
      </c>
      <c r="H29" s="1" t="s">
        <v>202</v>
      </c>
      <c r="I29" s="1" t="s">
        <v>203</v>
      </c>
      <c r="J29" s="1" t="s">
        <v>204</v>
      </c>
      <c r="K29" s="1" t="s">
        <v>204</v>
      </c>
      <c r="L29" s="1" t="s">
        <v>205</v>
      </c>
      <c r="M29" s="1" t="s">
        <v>206</v>
      </c>
      <c r="N29" s="1" t="s">
        <v>207</v>
      </c>
      <c r="O29" s="3">
        <v>1</v>
      </c>
      <c r="P29" s="33">
        <v>1</v>
      </c>
      <c r="Q29" s="21">
        <v>100</v>
      </c>
      <c r="R29" s="22">
        <v>1</v>
      </c>
      <c r="S29" s="1">
        <v>90</v>
      </c>
      <c r="T29" s="1">
        <v>88</v>
      </c>
      <c r="U29" s="2">
        <v>77</v>
      </c>
      <c r="V29" s="1">
        <f t="shared" si="0"/>
        <v>89.5</v>
      </c>
      <c r="W29" s="1">
        <f t="shared" si="1"/>
        <v>90</v>
      </c>
      <c r="X29" s="25" t="str">
        <f t="shared" si="2"/>
        <v>A</v>
      </c>
    </row>
    <row r="30" spans="1:24" x14ac:dyDescent="0.35">
      <c r="A30" s="1">
        <v>20</v>
      </c>
      <c r="B30" s="2">
        <v>241110506</v>
      </c>
      <c r="C30" s="20" t="s">
        <v>208</v>
      </c>
      <c r="D30" s="1" t="s">
        <v>209</v>
      </c>
      <c r="E30" s="1" t="s">
        <v>210</v>
      </c>
      <c r="F30" s="1">
        <v>92</v>
      </c>
      <c r="G30" s="1">
        <v>89</v>
      </c>
      <c r="H30" s="1" t="s">
        <v>211</v>
      </c>
      <c r="I30" s="1" t="s">
        <v>212</v>
      </c>
      <c r="J30" s="1" t="s">
        <v>213</v>
      </c>
      <c r="K30" s="1" t="s">
        <v>213</v>
      </c>
      <c r="L30" s="1" t="s">
        <v>214</v>
      </c>
      <c r="M30" s="1" t="s">
        <v>215</v>
      </c>
      <c r="N30" s="1" t="s">
        <v>216</v>
      </c>
      <c r="O30" s="3">
        <v>0.93</v>
      </c>
      <c r="Q30" s="21">
        <v>86</v>
      </c>
      <c r="R30" s="22">
        <v>0.8571428571428571</v>
      </c>
      <c r="S30" s="1">
        <v>90</v>
      </c>
      <c r="T30" s="1">
        <v>100</v>
      </c>
      <c r="U30" s="2">
        <v>77</v>
      </c>
      <c r="V30" s="1">
        <f t="shared" si="0"/>
        <v>89.2</v>
      </c>
      <c r="W30" s="1">
        <f t="shared" si="1"/>
        <v>90</v>
      </c>
      <c r="X30" s="25" t="str">
        <f t="shared" si="2"/>
        <v>A</v>
      </c>
    </row>
    <row r="31" spans="1:24" x14ac:dyDescent="0.35">
      <c r="A31" s="1">
        <v>21</v>
      </c>
      <c r="B31" s="2">
        <v>241110541</v>
      </c>
      <c r="C31" s="1" t="s">
        <v>217</v>
      </c>
      <c r="D31" s="1" t="s">
        <v>218</v>
      </c>
      <c r="E31" s="1" t="s">
        <v>219</v>
      </c>
      <c r="F31" s="1">
        <v>89</v>
      </c>
      <c r="G31" s="1">
        <v>93</v>
      </c>
      <c r="H31" s="1" t="s">
        <v>220</v>
      </c>
      <c r="I31" s="1" t="s">
        <v>221</v>
      </c>
      <c r="J31" s="1" t="s">
        <v>125</v>
      </c>
      <c r="K31" s="1" t="s">
        <v>125</v>
      </c>
      <c r="L31" s="1" t="s">
        <v>222</v>
      </c>
      <c r="M31" s="1" t="s">
        <v>223</v>
      </c>
      <c r="N31" s="20" t="s">
        <v>224</v>
      </c>
      <c r="O31" s="3">
        <v>0.93</v>
      </c>
      <c r="Q31" s="21">
        <v>14</v>
      </c>
      <c r="R31" s="22">
        <v>0.14285714285714285</v>
      </c>
      <c r="S31" s="1">
        <v>90</v>
      </c>
      <c r="T31" s="1">
        <v>92</v>
      </c>
      <c r="U31" s="2">
        <v>70</v>
      </c>
      <c r="V31" s="1">
        <f t="shared" si="0"/>
        <v>76.400000000000006</v>
      </c>
      <c r="W31" s="1">
        <f t="shared" si="1"/>
        <v>77</v>
      </c>
      <c r="X31" s="23" t="str">
        <f t="shared" si="2"/>
        <v>B+</v>
      </c>
    </row>
    <row r="32" spans="1:24" x14ac:dyDescent="0.35">
      <c r="A32" s="1">
        <v>22</v>
      </c>
      <c r="B32" s="2">
        <v>241110637</v>
      </c>
      <c r="C32" s="1" t="s">
        <v>225</v>
      </c>
      <c r="D32" s="1" t="s">
        <v>226</v>
      </c>
      <c r="E32" s="1" t="s">
        <v>227</v>
      </c>
      <c r="F32" s="1">
        <v>84</v>
      </c>
      <c r="G32" s="1">
        <v>82</v>
      </c>
      <c r="H32" s="1" t="s">
        <v>228</v>
      </c>
      <c r="I32" s="20" t="s">
        <v>229</v>
      </c>
      <c r="J32" s="20" t="s">
        <v>230</v>
      </c>
      <c r="K32" s="20" t="s">
        <v>230</v>
      </c>
      <c r="L32" s="1" t="s">
        <v>231</v>
      </c>
      <c r="M32" s="1" t="s">
        <v>232</v>
      </c>
      <c r="N32" s="1" t="s">
        <v>181</v>
      </c>
      <c r="O32" s="3">
        <v>0.8</v>
      </c>
      <c r="Q32" s="21">
        <v>10</v>
      </c>
      <c r="R32" s="22">
        <v>0</v>
      </c>
      <c r="S32" s="1">
        <v>80</v>
      </c>
      <c r="T32" s="1">
        <v>100</v>
      </c>
      <c r="U32" s="2">
        <v>100</v>
      </c>
      <c r="V32" s="1">
        <f t="shared" si="0"/>
        <v>77</v>
      </c>
      <c r="W32" s="1">
        <f t="shared" si="1"/>
        <v>77</v>
      </c>
      <c r="X32" s="23" t="str">
        <f t="shared" si="2"/>
        <v>B+</v>
      </c>
    </row>
    <row r="33" spans="1:24" x14ac:dyDescent="0.35">
      <c r="A33" s="1">
        <v>23</v>
      </c>
      <c r="B33" s="2">
        <v>241110658</v>
      </c>
      <c r="C33" s="1" t="s">
        <v>233</v>
      </c>
      <c r="D33" s="1" t="s">
        <v>234</v>
      </c>
      <c r="E33" s="1" t="s">
        <v>235</v>
      </c>
      <c r="F33" s="1">
        <v>91</v>
      </c>
      <c r="G33" s="1">
        <v>93</v>
      </c>
      <c r="H33" s="1" t="s">
        <v>236</v>
      </c>
      <c r="I33" s="1" t="s">
        <v>237</v>
      </c>
      <c r="J33" s="1" t="s">
        <v>158</v>
      </c>
      <c r="K33" s="1" t="s">
        <v>158</v>
      </c>
      <c r="L33" s="1" t="s">
        <v>238</v>
      </c>
      <c r="M33" s="1" t="s">
        <v>239</v>
      </c>
      <c r="N33" s="1" t="s">
        <v>240</v>
      </c>
      <c r="O33" s="3">
        <v>1</v>
      </c>
      <c r="Q33" s="21">
        <v>22</v>
      </c>
      <c r="R33" s="22">
        <v>0.5714285714285714</v>
      </c>
      <c r="S33" s="1">
        <v>100</v>
      </c>
      <c r="T33" s="1">
        <v>98</v>
      </c>
      <c r="U33" s="2">
        <v>100</v>
      </c>
      <c r="V33" s="1">
        <f t="shared" si="0"/>
        <v>84</v>
      </c>
      <c r="W33" s="1">
        <f t="shared" si="1"/>
        <v>84</v>
      </c>
      <c r="X33" s="32" t="str">
        <f t="shared" si="2"/>
        <v>A-</v>
      </c>
    </row>
    <row r="34" spans="1:24" x14ac:dyDescent="0.35">
      <c r="A34" s="1">
        <v>24</v>
      </c>
      <c r="B34" s="2">
        <v>241110679</v>
      </c>
      <c r="C34" s="1" t="s">
        <v>241</v>
      </c>
      <c r="D34" s="1" t="s">
        <v>242</v>
      </c>
      <c r="E34" s="1" t="s">
        <v>243</v>
      </c>
      <c r="F34" s="1">
        <v>91</v>
      </c>
      <c r="G34" s="1">
        <v>93</v>
      </c>
      <c r="H34" s="1" t="s">
        <v>244</v>
      </c>
      <c r="I34" s="1" t="s">
        <v>245</v>
      </c>
      <c r="J34" s="1" t="s">
        <v>246</v>
      </c>
      <c r="K34" s="1" t="s">
        <v>246</v>
      </c>
      <c r="L34" s="1" t="s">
        <v>247</v>
      </c>
      <c r="M34" s="1" t="s">
        <v>248</v>
      </c>
      <c r="N34" s="1" t="s">
        <v>249</v>
      </c>
      <c r="O34" s="3">
        <v>0.93</v>
      </c>
      <c r="Q34" s="21">
        <v>87</v>
      </c>
      <c r="R34" s="22">
        <v>1</v>
      </c>
      <c r="S34" s="1">
        <v>100</v>
      </c>
      <c r="T34" s="1">
        <v>98</v>
      </c>
      <c r="U34" s="2">
        <v>100</v>
      </c>
      <c r="V34" s="1">
        <f t="shared" si="0"/>
        <v>93.75</v>
      </c>
      <c r="W34" s="1">
        <f t="shared" si="1"/>
        <v>94</v>
      </c>
      <c r="X34" s="25" t="str">
        <f t="shared" si="2"/>
        <v>A</v>
      </c>
    </row>
    <row r="35" spans="1:24" x14ac:dyDescent="0.35">
      <c r="A35" s="1">
        <v>25</v>
      </c>
      <c r="B35" s="2">
        <v>241110711</v>
      </c>
      <c r="C35" s="20" t="s">
        <v>250</v>
      </c>
      <c r="D35" s="1" t="s">
        <v>251</v>
      </c>
      <c r="E35" s="1" t="s">
        <v>252</v>
      </c>
      <c r="F35" s="1">
        <v>88</v>
      </c>
      <c r="G35" s="1">
        <v>88</v>
      </c>
      <c r="H35" s="1" t="s">
        <v>72</v>
      </c>
      <c r="I35" s="20" t="s">
        <v>253</v>
      </c>
      <c r="J35" s="1" t="s">
        <v>254</v>
      </c>
      <c r="K35" s="1" t="s">
        <v>254</v>
      </c>
      <c r="L35" s="1" t="s">
        <v>255</v>
      </c>
      <c r="M35" s="1" t="s">
        <v>256</v>
      </c>
      <c r="N35" s="1" t="s">
        <v>216</v>
      </c>
      <c r="O35" s="3">
        <v>1</v>
      </c>
      <c r="Q35" s="21">
        <v>29</v>
      </c>
      <c r="R35" s="22">
        <v>0.2857142857142857</v>
      </c>
      <c r="S35" s="1">
        <v>90</v>
      </c>
      <c r="T35" s="1">
        <v>98</v>
      </c>
      <c r="U35" s="2">
        <v>100</v>
      </c>
      <c r="V35" s="1">
        <f t="shared" si="0"/>
        <v>82.55</v>
      </c>
      <c r="W35" s="4">
        <f t="shared" si="1"/>
        <v>83</v>
      </c>
      <c r="X35" s="23" t="str">
        <f t="shared" si="2"/>
        <v>A-</v>
      </c>
    </row>
    <row r="36" spans="1:24" x14ac:dyDescent="0.35">
      <c r="A36" s="1">
        <v>26</v>
      </c>
      <c r="B36" s="2">
        <v>241110805</v>
      </c>
      <c r="C36" s="1" t="s">
        <v>257</v>
      </c>
      <c r="D36" s="1" t="s">
        <v>258</v>
      </c>
      <c r="E36" s="1" t="s">
        <v>259</v>
      </c>
      <c r="F36" s="1">
        <v>94</v>
      </c>
      <c r="G36" s="1">
        <v>96</v>
      </c>
      <c r="H36" s="1" t="s">
        <v>244</v>
      </c>
      <c r="I36" s="1" t="s">
        <v>260</v>
      </c>
      <c r="J36" s="1" t="s">
        <v>239</v>
      </c>
      <c r="K36" s="1" t="s">
        <v>239</v>
      </c>
      <c r="L36" s="1" t="s">
        <v>261</v>
      </c>
      <c r="M36" s="1" t="s">
        <v>262</v>
      </c>
      <c r="N36" s="1" t="s">
        <v>263</v>
      </c>
      <c r="O36" s="3">
        <v>1</v>
      </c>
      <c r="Q36" s="21">
        <v>100</v>
      </c>
      <c r="R36" s="22">
        <v>1</v>
      </c>
      <c r="S36" s="1">
        <v>90</v>
      </c>
      <c r="T36" s="1">
        <v>94</v>
      </c>
      <c r="U36" s="2">
        <v>100</v>
      </c>
      <c r="V36" s="1">
        <f t="shared" si="0"/>
        <v>96.1</v>
      </c>
      <c r="W36" s="1">
        <f t="shared" si="1"/>
        <v>97</v>
      </c>
      <c r="X36" s="25" t="str">
        <f t="shared" si="2"/>
        <v>A</v>
      </c>
    </row>
    <row r="37" spans="1:24" x14ac:dyDescent="0.35">
      <c r="A37" s="1">
        <v>27</v>
      </c>
      <c r="B37" s="2">
        <v>241110842</v>
      </c>
      <c r="C37" s="20" t="s">
        <v>264</v>
      </c>
      <c r="D37" s="1" t="s">
        <v>265</v>
      </c>
      <c r="E37" s="1" t="s">
        <v>266</v>
      </c>
      <c r="F37" s="1">
        <v>95</v>
      </c>
      <c r="G37" s="1">
        <v>94</v>
      </c>
      <c r="H37" s="1" t="s">
        <v>267</v>
      </c>
      <c r="I37" s="1" t="s">
        <v>268</v>
      </c>
      <c r="J37" s="1" t="s">
        <v>269</v>
      </c>
      <c r="K37" s="1" t="s">
        <v>269</v>
      </c>
      <c r="L37" s="1" t="s">
        <v>270</v>
      </c>
      <c r="M37" s="1" t="s">
        <v>271</v>
      </c>
      <c r="N37" s="1" t="s">
        <v>272</v>
      </c>
      <c r="O37" s="3">
        <v>1</v>
      </c>
      <c r="Q37" s="21">
        <v>100</v>
      </c>
      <c r="R37" s="22">
        <v>1</v>
      </c>
      <c r="S37" s="1">
        <v>100</v>
      </c>
      <c r="T37" s="1">
        <v>100</v>
      </c>
      <c r="U37" s="2">
        <v>100</v>
      </c>
      <c r="V37" s="1">
        <f t="shared" si="0"/>
        <v>97.25</v>
      </c>
      <c r="W37" s="1">
        <f t="shared" si="1"/>
        <v>98</v>
      </c>
      <c r="X37" s="25" t="str">
        <f t="shared" si="2"/>
        <v>A</v>
      </c>
    </row>
    <row r="38" spans="1:24" x14ac:dyDescent="0.35">
      <c r="A38" s="1">
        <v>28</v>
      </c>
      <c r="B38" s="2">
        <v>241110875</v>
      </c>
      <c r="C38" s="20" t="s">
        <v>273</v>
      </c>
      <c r="D38" s="1" t="s">
        <v>274</v>
      </c>
      <c r="E38" s="1" t="s">
        <v>275</v>
      </c>
      <c r="F38" s="1">
        <v>87</v>
      </c>
      <c r="G38" s="1">
        <v>86</v>
      </c>
      <c r="H38" s="1" t="s">
        <v>276</v>
      </c>
      <c r="I38" s="1" t="s">
        <v>277</v>
      </c>
      <c r="J38" s="1" t="s">
        <v>278</v>
      </c>
      <c r="K38" s="1" t="s">
        <v>278</v>
      </c>
      <c r="L38" s="1" t="s">
        <v>279</v>
      </c>
      <c r="M38" s="1" t="s">
        <v>280</v>
      </c>
      <c r="N38" s="1" t="s">
        <v>281</v>
      </c>
      <c r="O38" s="3">
        <v>1</v>
      </c>
      <c r="Q38" s="21">
        <v>33</v>
      </c>
      <c r="R38" s="22">
        <v>0.8571428571428571</v>
      </c>
      <c r="S38" s="1">
        <v>100</v>
      </c>
      <c r="T38" s="1">
        <v>100</v>
      </c>
      <c r="U38" s="2">
        <v>75</v>
      </c>
      <c r="V38" s="1">
        <f t="shared" si="0"/>
        <v>79.45</v>
      </c>
      <c r="W38" s="1">
        <f t="shared" si="1"/>
        <v>80</v>
      </c>
      <c r="X38" s="23" t="str">
        <f t="shared" si="2"/>
        <v>B+</v>
      </c>
    </row>
    <row r="39" spans="1:24" s="4" customFormat="1" x14ac:dyDescent="0.35">
      <c r="A39" s="4">
        <v>29</v>
      </c>
      <c r="B39" s="26">
        <v>241110896</v>
      </c>
      <c r="C39" s="4" t="s">
        <v>282</v>
      </c>
      <c r="D39" s="4" t="s">
        <v>283</v>
      </c>
      <c r="E39" s="4" t="s">
        <v>284</v>
      </c>
      <c r="F39" s="1">
        <v>94</v>
      </c>
      <c r="G39" s="1">
        <v>96</v>
      </c>
      <c r="H39" s="4" t="s">
        <v>254</v>
      </c>
      <c r="I39" s="4" t="s">
        <v>285</v>
      </c>
      <c r="J39" s="4" t="s">
        <v>286</v>
      </c>
      <c r="K39" s="4" t="s">
        <v>286</v>
      </c>
      <c r="L39" s="4" t="s">
        <v>287</v>
      </c>
      <c r="M39" s="4" t="s">
        <v>154</v>
      </c>
      <c r="N39" s="4" t="s">
        <v>288</v>
      </c>
      <c r="O39" s="27">
        <v>1</v>
      </c>
      <c r="P39" s="34">
        <v>1</v>
      </c>
      <c r="Q39" s="21">
        <v>15</v>
      </c>
      <c r="R39" s="22">
        <v>0.2857142857142857</v>
      </c>
      <c r="S39" s="4">
        <v>90</v>
      </c>
      <c r="T39" s="4">
        <v>70</v>
      </c>
      <c r="U39" s="2">
        <v>100</v>
      </c>
      <c r="V39" s="1">
        <f t="shared" si="0"/>
        <v>79.75</v>
      </c>
      <c r="W39" s="1">
        <f t="shared" si="1"/>
        <v>80</v>
      </c>
      <c r="X39" s="23" t="str">
        <f t="shared" si="2"/>
        <v>B+</v>
      </c>
    </row>
    <row r="40" spans="1:24" x14ac:dyDescent="0.35">
      <c r="A40" s="1">
        <v>30</v>
      </c>
      <c r="B40" s="2">
        <v>241110910</v>
      </c>
      <c r="C40" s="1" t="s">
        <v>289</v>
      </c>
      <c r="D40" s="1" t="s">
        <v>290</v>
      </c>
      <c r="E40" s="1" t="s">
        <v>291</v>
      </c>
      <c r="F40" s="1">
        <v>89</v>
      </c>
      <c r="G40" s="1">
        <v>91</v>
      </c>
      <c r="H40" s="1" t="s">
        <v>292</v>
      </c>
      <c r="I40" s="1" t="s">
        <v>293</v>
      </c>
      <c r="J40" s="1" t="s">
        <v>294</v>
      </c>
      <c r="K40" s="1" t="s">
        <v>294</v>
      </c>
      <c r="L40" s="1" t="s">
        <v>295</v>
      </c>
      <c r="M40" s="1" t="s">
        <v>129</v>
      </c>
      <c r="N40" s="1" t="s">
        <v>296</v>
      </c>
      <c r="O40" s="3">
        <v>0.93</v>
      </c>
      <c r="Q40" s="21">
        <v>44</v>
      </c>
      <c r="R40" s="22">
        <v>0.5714285714285714</v>
      </c>
      <c r="S40" s="1">
        <v>100</v>
      </c>
      <c r="T40" s="1">
        <v>90</v>
      </c>
      <c r="U40" s="2">
        <v>70</v>
      </c>
      <c r="V40" s="1">
        <f t="shared" si="0"/>
        <v>80.599999999999994</v>
      </c>
      <c r="W40" s="4">
        <f t="shared" si="1"/>
        <v>81</v>
      </c>
      <c r="X40" s="23" t="str">
        <f t="shared" si="2"/>
        <v>A-</v>
      </c>
    </row>
    <row r="41" spans="1:24" x14ac:dyDescent="0.35">
      <c r="A41" s="1">
        <v>31</v>
      </c>
      <c r="B41" s="2">
        <v>241110962</v>
      </c>
      <c r="C41" s="20" t="s">
        <v>297</v>
      </c>
      <c r="D41" s="1" t="s">
        <v>298</v>
      </c>
      <c r="E41" s="1" t="s">
        <v>299</v>
      </c>
      <c r="F41" s="1">
        <v>92</v>
      </c>
      <c r="G41" s="1">
        <v>89</v>
      </c>
      <c r="H41" s="1" t="s">
        <v>300</v>
      </c>
      <c r="I41" s="20" t="s">
        <v>301</v>
      </c>
      <c r="J41" s="1" t="s">
        <v>302</v>
      </c>
      <c r="K41" s="1" t="s">
        <v>302</v>
      </c>
      <c r="L41" s="1" t="s">
        <v>303</v>
      </c>
      <c r="M41" s="1" t="s">
        <v>304</v>
      </c>
      <c r="N41" s="1" t="s">
        <v>305</v>
      </c>
      <c r="O41" s="3">
        <v>0.93</v>
      </c>
      <c r="Q41" s="21">
        <v>23</v>
      </c>
      <c r="R41" s="22">
        <v>0.5714285714285714</v>
      </c>
      <c r="S41" s="1">
        <v>90</v>
      </c>
      <c r="T41" s="1">
        <v>96</v>
      </c>
      <c r="U41" s="2">
        <v>77</v>
      </c>
      <c r="V41" s="1">
        <f t="shared" si="0"/>
        <v>79.149999999999991</v>
      </c>
      <c r="W41" s="1">
        <f t="shared" si="1"/>
        <v>80</v>
      </c>
      <c r="X41" s="32" t="str">
        <f t="shared" si="2"/>
        <v>B+</v>
      </c>
    </row>
    <row r="42" spans="1:24" x14ac:dyDescent="0.35">
      <c r="A42" s="1">
        <v>32</v>
      </c>
      <c r="B42" s="2">
        <v>241110995</v>
      </c>
      <c r="C42" s="20" t="s">
        <v>306</v>
      </c>
      <c r="D42" s="1" t="s">
        <v>307</v>
      </c>
      <c r="E42" s="1" t="s">
        <v>308</v>
      </c>
      <c r="F42" s="1">
        <v>87</v>
      </c>
      <c r="G42" s="1">
        <v>90</v>
      </c>
      <c r="H42" s="1" t="s">
        <v>309</v>
      </c>
      <c r="I42" s="1" t="s">
        <v>310</v>
      </c>
      <c r="J42" s="1" t="s">
        <v>311</v>
      </c>
      <c r="K42" s="1" t="s">
        <v>311</v>
      </c>
      <c r="L42" s="1" t="s">
        <v>312</v>
      </c>
      <c r="M42" s="1" t="s">
        <v>313</v>
      </c>
      <c r="N42" s="1" t="s">
        <v>314</v>
      </c>
      <c r="O42" s="3">
        <v>0.87</v>
      </c>
      <c r="Q42" s="21">
        <v>29</v>
      </c>
      <c r="R42" s="22">
        <v>0.2857142857142857</v>
      </c>
      <c r="S42" s="1">
        <v>60</v>
      </c>
      <c r="T42" s="1">
        <v>98</v>
      </c>
      <c r="U42" s="2">
        <v>100</v>
      </c>
      <c r="V42" s="1">
        <f t="shared" si="0"/>
        <v>81.3</v>
      </c>
      <c r="W42" s="4">
        <f t="shared" si="1"/>
        <v>82</v>
      </c>
      <c r="X42" s="23" t="str">
        <f t="shared" si="2"/>
        <v>A-</v>
      </c>
    </row>
    <row r="43" spans="1:24" x14ac:dyDescent="0.35">
      <c r="A43" s="1">
        <v>33</v>
      </c>
      <c r="B43" s="2">
        <v>241111038</v>
      </c>
      <c r="C43" s="20" t="s">
        <v>315</v>
      </c>
      <c r="D43" s="1" t="s">
        <v>316</v>
      </c>
      <c r="E43" s="1" t="s">
        <v>317</v>
      </c>
      <c r="F43" s="1">
        <v>88</v>
      </c>
      <c r="G43" s="1">
        <v>88</v>
      </c>
      <c r="H43" s="1" t="s">
        <v>167</v>
      </c>
      <c r="I43" s="1" t="s">
        <v>318</v>
      </c>
      <c r="J43" s="1" t="s">
        <v>319</v>
      </c>
      <c r="K43" s="1" t="s">
        <v>319</v>
      </c>
      <c r="L43" s="1" t="s">
        <v>320</v>
      </c>
      <c r="M43" s="1" t="s">
        <v>321</v>
      </c>
      <c r="N43" s="1" t="s">
        <v>322</v>
      </c>
      <c r="O43" s="3">
        <v>1</v>
      </c>
      <c r="Q43" s="21">
        <v>10</v>
      </c>
      <c r="R43" s="22">
        <v>0</v>
      </c>
      <c r="S43" s="1">
        <v>90</v>
      </c>
      <c r="T43" s="1">
        <v>92</v>
      </c>
      <c r="U43" s="2">
        <v>100</v>
      </c>
      <c r="V43" s="1">
        <f t="shared" si="0"/>
        <v>78.8</v>
      </c>
      <c r="W43" s="1">
        <f t="shared" si="1"/>
        <v>79</v>
      </c>
      <c r="X43" s="23" t="str">
        <f t="shared" si="2"/>
        <v>B+</v>
      </c>
    </row>
    <row r="44" spans="1:24" x14ac:dyDescent="0.35">
      <c r="A44" s="1">
        <v>34</v>
      </c>
      <c r="B44" s="2">
        <v>241111078</v>
      </c>
      <c r="C44" s="1" t="s">
        <v>323</v>
      </c>
      <c r="D44" s="1" t="s">
        <v>324</v>
      </c>
      <c r="E44" s="1" t="s">
        <v>325</v>
      </c>
      <c r="F44" s="1">
        <v>93</v>
      </c>
      <c r="G44" s="1">
        <v>88</v>
      </c>
      <c r="H44" s="1" t="s">
        <v>326</v>
      </c>
      <c r="I44" s="1" t="s">
        <v>327</v>
      </c>
      <c r="J44" s="1" t="s">
        <v>328</v>
      </c>
      <c r="K44" s="1" t="s">
        <v>328</v>
      </c>
      <c r="L44" s="1" t="s">
        <v>329</v>
      </c>
      <c r="M44" s="1" t="s">
        <v>330</v>
      </c>
      <c r="N44" s="1" t="s">
        <v>331</v>
      </c>
      <c r="O44" s="3">
        <v>1</v>
      </c>
      <c r="Q44" s="21">
        <v>100</v>
      </c>
      <c r="R44" s="22">
        <v>1</v>
      </c>
      <c r="S44" s="1">
        <v>100</v>
      </c>
      <c r="T44" s="1">
        <v>94</v>
      </c>
      <c r="U44" s="2">
        <v>97</v>
      </c>
      <c r="V44" s="1">
        <f t="shared" si="0"/>
        <v>93.899999999999991</v>
      </c>
      <c r="W44" s="1">
        <f t="shared" si="1"/>
        <v>94</v>
      </c>
      <c r="X44" s="25" t="str">
        <f t="shared" si="2"/>
        <v>A</v>
      </c>
    </row>
    <row r="45" spans="1:24" x14ac:dyDescent="0.35">
      <c r="A45" s="1">
        <v>35</v>
      </c>
      <c r="B45" s="2">
        <v>241111106</v>
      </c>
      <c r="C45" s="1" t="s">
        <v>332</v>
      </c>
      <c r="D45" s="1" t="s">
        <v>333</v>
      </c>
      <c r="E45" s="1" t="s">
        <v>334</v>
      </c>
      <c r="F45" s="1">
        <v>89</v>
      </c>
      <c r="G45" s="1">
        <v>91</v>
      </c>
      <c r="H45" s="1" t="s">
        <v>335</v>
      </c>
      <c r="I45" s="1" t="s">
        <v>336</v>
      </c>
      <c r="J45" s="1" t="s">
        <v>337</v>
      </c>
      <c r="K45" s="1" t="s">
        <v>337</v>
      </c>
      <c r="L45" s="1" t="s">
        <v>338</v>
      </c>
      <c r="M45" s="1" t="s">
        <v>339</v>
      </c>
      <c r="N45" s="1" t="s">
        <v>340</v>
      </c>
      <c r="O45" s="3">
        <v>0.87</v>
      </c>
      <c r="Q45" s="21">
        <v>72</v>
      </c>
      <c r="R45" s="22">
        <v>0.7142857142857143</v>
      </c>
      <c r="S45" s="1">
        <v>100</v>
      </c>
      <c r="T45" s="1">
        <v>98</v>
      </c>
      <c r="U45" s="2">
        <v>70</v>
      </c>
      <c r="V45" s="1">
        <f t="shared" si="0"/>
        <v>86</v>
      </c>
      <c r="W45" s="1">
        <f t="shared" si="1"/>
        <v>86</v>
      </c>
      <c r="X45" s="32" t="str">
        <f t="shared" si="2"/>
        <v>A</v>
      </c>
    </row>
    <row r="46" spans="1:24" x14ac:dyDescent="0.35">
      <c r="A46" s="1">
        <v>36</v>
      </c>
      <c r="B46" s="2">
        <v>241111131</v>
      </c>
      <c r="C46" s="20" t="s">
        <v>341</v>
      </c>
      <c r="D46" s="1" t="s">
        <v>342</v>
      </c>
      <c r="E46" s="1" t="s">
        <v>343</v>
      </c>
      <c r="F46" s="1">
        <v>87</v>
      </c>
      <c r="G46" s="1">
        <v>90</v>
      </c>
      <c r="H46" s="1" t="s">
        <v>125</v>
      </c>
      <c r="I46" s="1" t="s">
        <v>344</v>
      </c>
      <c r="J46" s="1" t="s">
        <v>345</v>
      </c>
      <c r="K46" s="1" t="s">
        <v>345</v>
      </c>
      <c r="M46" s="1" t="s">
        <v>346</v>
      </c>
      <c r="N46" s="1" t="s">
        <v>347</v>
      </c>
      <c r="O46" s="3">
        <v>0.87</v>
      </c>
      <c r="P46" s="33">
        <v>2</v>
      </c>
      <c r="Q46" s="21">
        <v>22</v>
      </c>
      <c r="R46" s="22">
        <v>0.42857142857142855</v>
      </c>
      <c r="S46" s="1">
        <v>90</v>
      </c>
      <c r="T46" s="1">
        <v>98</v>
      </c>
      <c r="U46" s="2">
        <v>100</v>
      </c>
      <c r="V46" s="1">
        <f t="shared" si="0"/>
        <v>81.75</v>
      </c>
      <c r="W46" s="4">
        <f t="shared" si="1"/>
        <v>82</v>
      </c>
      <c r="X46" s="32" t="str">
        <f t="shared" si="2"/>
        <v>A-</v>
      </c>
    </row>
    <row r="47" spans="1:24" x14ac:dyDescent="0.35">
      <c r="A47" s="1">
        <v>37</v>
      </c>
      <c r="B47" s="2">
        <v>241111218</v>
      </c>
      <c r="C47" s="1" t="s">
        <v>348</v>
      </c>
      <c r="D47" s="1" t="s">
        <v>349</v>
      </c>
      <c r="E47" s="1" t="s">
        <v>350</v>
      </c>
      <c r="F47" s="1">
        <v>88</v>
      </c>
      <c r="G47" s="1">
        <v>82</v>
      </c>
      <c r="H47" s="1" t="s">
        <v>351</v>
      </c>
      <c r="I47" s="1" t="s">
        <v>352</v>
      </c>
      <c r="J47" s="1" t="s">
        <v>353</v>
      </c>
      <c r="K47" s="1" t="s">
        <v>353</v>
      </c>
      <c r="L47" s="1" t="s">
        <v>354</v>
      </c>
      <c r="M47" s="1" t="s">
        <v>93</v>
      </c>
      <c r="N47" s="1" t="s">
        <v>355</v>
      </c>
      <c r="O47" s="3">
        <v>1</v>
      </c>
      <c r="Q47" s="21">
        <v>87</v>
      </c>
      <c r="R47" s="22">
        <v>1</v>
      </c>
      <c r="S47" s="1">
        <v>90</v>
      </c>
      <c r="T47" s="1">
        <v>100</v>
      </c>
      <c r="U47" s="2">
        <v>100</v>
      </c>
      <c r="V47" s="1">
        <f t="shared" si="0"/>
        <v>90.05</v>
      </c>
      <c r="W47" s="1">
        <f t="shared" si="1"/>
        <v>91</v>
      </c>
      <c r="X47" s="25" t="str">
        <f t="shared" si="2"/>
        <v>A</v>
      </c>
    </row>
    <row r="48" spans="1:24" x14ac:dyDescent="0.35">
      <c r="A48" s="1">
        <v>38</v>
      </c>
      <c r="B48" s="2">
        <v>241111268</v>
      </c>
      <c r="C48" s="1" t="s">
        <v>356</v>
      </c>
      <c r="D48" s="1" t="s">
        <v>357</v>
      </c>
      <c r="E48" s="1" t="s">
        <v>358</v>
      </c>
      <c r="F48" s="1">
        <v>95</v>
      </c>
      <c r="G48" s="1">
        <v>92</v>
      </c>
      <c r="H48" s="1" t="s">
        <v>359</v>
      </c>
      <c r="I48" s="1" t="s">
        <v>63</v>
      </c>
      <c r="J48" s="1" t="s">
        <v>360</v>
      </c>
      <c r="K48" s="1" t="s">
        <v>360</v>
      </c>
      <c r="L48" s="1" t="s">
        <v>361</v>
      </c>
      <c r="M48" s="1" t="s">
        <v>362</v>
      </c>
      <c r="N48" s="1" t="s">
        <v>363</v>
      </c>
      <c r="O48" s="3">
        <v>1</v>
      </c>
      <c r="P48" s="33">
        <v>2</v>
      </c>
      <c r="Q48" s="21">
        <v>87</v>
      </c>
      <c r="R48" s="22">
        <v>1</v>
      </c>
      <c r="S48" s="1">
        <v>100</v>
      </c>
      <c r="T48" s="1">
        <v>96</v>
      </c>
      <c r="U48" s="2">
        <v>100</v>
      </c>
      <c r="V48" s="1">
        <f t="shared" si="0"/>
        <v>94.199999999999989</v>
      </c>
      <c r="W48" s="1">
        <f t="shared" si="1"/>
        <v>95</v>
      </c>
      <c r="X48" s="25" t="str">
        <f t="shared" si="2"/>
        <v>A</v>
      </c>
    </row>
    <row r="49" spans="1:24" s="20" customFormat="1" x14ac:dyDescent="0.35">
      <c r="A49" s="20">
        <v>39</v>
      </c>
      <c r="B49" s="28">
        <v>241111315</v>
      </c>
      <c r="C49" s="29" t="s">
        <v>364</v>
      </c>
      <c r="D49" s="20" t="s">
        <v>365</v>
      </c>
      <c r="E49" s="20" t="s">
        <v>366</v>
      </c>
      <c r="F49" s="1">
        <v>84</v>
      </c>
      <c r="G49" s="1">
        <v>82</v>
      </c>
      <c r="H49" s="20" t="s">
        <v>367</v>
      </c>
      <c r="I49" s="20" t="s">
        <v>368</v>
      </c>
      <c r="J49" s="20" t="s">
        <v>369</v>
      </c>
      <c r="K49" s="20" t="s">
        <v>369</v>
      </c>
      <c r="L49" s="20" t="s">
        <v>370</v>
      </c>
      <c r="M49" s="20" t="s">
        <v>371</v>
      </c>
      <c r="N49" s="20" t="s">
        <v>112</v>
      </c>
      <c r="O49" s="30">
        <v>0.87</v>
      </c>
      <c r="P49" s="28"/>
      <c r="Q49" s="21">
        <v>29</v>
      </c>
      <c r="R49" s="22">
        <v>0.2857142857142857</v>
      </c>
      <c r="S49" s="20">
        <v>80</v>
      </c>
      <c r="T49" s="20">
        <v>98</v>
      </c>
      <c r="U49" s="28">
        <v>90</v>
      </c>
      <c r="V49" s="1">
        <f t="shared" si="0"/>
        <v>78.05</v>
      </c>
      <c r="W49" s="1">
        <f t="shared" si="1"/>
        <v>79</v>
      </c>
      <c r="X49" s="23" t="str">
        <f t="shared" si="2"/>
        <v>B+</v>
      </c>
    </row>
    <row r="50" spans="1:24" x14ac:dyDescent="0.35">
      <c r="A50" s="1">
        <v>40</v>
      </c>
      <c r="B50" s="2">
        <v>241111387</v>
      </c>
      <c r="C50" s="1" t="s">
        <v>372</v>
      </c>
      <c r="D50" s="1" t="s">
        <v>373</v>
      </c>
      <c r="E50" s="1" t="s">
        <v>374</v>
      </c>
      <c r="F50" s="1">
        <v>90</v>
      </c>
      <c r="G50" s="1">
        <v>92</v>
      </c>
      <c r="H50" s="1" t="s">
        <v>375</v>
      </c>
      <c r="I50" s="20" t="s">
        <v>376</v>
      </c>
      <c r="J50" s="1" t="s">
        <v>377</v>
      </c>
      <c r="K50" s="1" t="s">
        <v>377</v>
      </c>
      <c r="L50" s="1" t="s">
        <v>378</v>
      </c>
      <c r="M50" s="1" t="s">
        <v>313</v>
      </c>
      <c r="N50" s="1" t="s">
        <v>379</v>
      </c>
      <c r="O50" s="3">
        <v>0.93</v>
      </c>
      <c r="Q50" s="21">
        <v>100</v>
      </c>
      <c r="R50" s="22">
        <v>1</v>
      </c>
      <c r="S50" s="1">
        <v>90</v>
      </c>
      <c r="T50" s="1">
        <v>96</v>
      </c>
      <c r="U50" s="2">
        <v>100</v>
      </c>
      <c r="V50" s="1">
        <f t="shared" si="0"/>
        <v>94.4</v>
      </c>
      <c r="W50" s="1">
        <f t="shared" si="1"/>
        <v>95</v>
      </c>
      <c r="X50" s="25" t="str">
        <f t="shared" si="2"/>
        <v>A</v>
      </c>
    </row>
    <row r="51" spans="1:24" x14ac:dyDescent="0.35">
      <c r="A51" s="1">
        <v>41</v>
      </c>
      <c r="B51" s="2">
        <v>241111422</v>
      </c>
      <c r="C51" s="1" t="s">
        <v>380</v>
      </c>
      <c r="D51" s="1" t="s">
        <v>381</v>
      </c>
      <c r="E51" s="1" t="s">
        <v>382</v>
      </c>
      <c r="F51" s="1">
        <v>93</v>
      </c>
      <c r="G51" s="1">
        <v>88</v>
      </c>
      <c r="H51" s="1" t="s">
        <v>383</v>
      </c>
      <c r="I51" s="1" t="s">
        <v>384</v>
      </c>
      <c r="J51" s="1" t="s">
        <v>385</v>
      </c>
      <c r="K51" s="1" t="s">
        <v>385</v>
      </c>
      <c r="L51" s="1" t="s">
        <v>386</v>
      </c>
      <c r="M51" s="1" t="s">
        <v>387</v>
      </c>
      <c r="N51" s="1" t="s">
        <v>388</v>
      </c>
      <c r="O51" s="3">
        <v>0.93</v>
      </c>
      <c r="Q51" s="21">
        <v>86</v>
      </c>
      <c r="R51" s="22">
        <v>0.8571428571428571</v>
      </c>
      <c r="S51" s="1">
        <v>100</v>
      </c>
      <c r="T51" s="1">
        <v>98</v>
      </c>
      <c r="U51" s="2">
        <v>97</v>
      </c>
      <c r="V51" s="1">
        <f t="shared" si="0"/>
        <v>92.399999999999991</v>
      </c>
      <c r="W51" s="1">
        <f t="shared" si="1"/>
        <v>93</v>
      </c>
      <c r="X51" s="25" t="str">
        <f t="shared" si="2"/>
        <v>A</v>
      </c>
    </row>
    <row r="52" spans="1:24" x14ac:dyDescent="0.35">
      <c r="A52" s="1">
        <v>42</v>
      </c>
      <c r="B52" s="2">
        <v>241111461</v>
      </c>
      <c r="C52" s="1" t="s">
        <v>389</v>
      </c>
      <c r="D52" s="1" t="s">
        <v>390</v>
      </c>
      <c r="E52" s="1" t="s">
        <v>391</v>
      </c>
      <c r="F52" s="1">
        <v>94</v>
      </c>
      <c r="G52" s="1">
        <v>96</v>
      </c>
      <c r="H52" s="1" t="s">
        <v>392</v>
      </c>
      <c r="I52" s="1" t="s">
        <v>271</v>
      </c>
      <c r="J52" s="1" t="s">
        <v>393</v>
      </c>
      <c r="K52" s="1" t="s">
        <v>393</v>
      </c>
      <c r="L52" s="1" t="s">
        <v>394</v>
      </c>
      <c r="M52" s="1" t="s">
        <v>395</v>
      </c>
      <c r="N52" s="1" t="s">
        <v>396</v>
      </c>
      <c r="O52" s="3">
        <v>1</v>
      </c>
      <c r="Q52" s="21">
        <v>87</v>
      </c>
      <c r="R52" s="22">
        <v>1</v>
      </c>
      <c r="S52" s="1">
        <v>100</v>
      </c>
      <c r="T52" s="1">
        <v>94</v>
      </c>
      <c r="U52" s="2">
        <v>100</v>
      </c>
      <c r="V52" s="1">
        <f t="shared" si="0"/>
        <v>94.649999999999991</v>
      </c>
      <c r="W52" s="1">
        <f t="shared" si="1"/>
        <v>95</v>
      </c>
      <c r="X52" s="25" t="str">
        <f t="shared" si="2"/>
        <v>A</v>
      </c>
    </row>
    <row r="53" spans="1:24" x14ac:dyDescent="0.35">
      <c r="A53" s="1">
        <v>43</v>
      </c>
      <c r="B53" s="2">
        <v>241111527</v>
      </c>
      <c r="C53" s="20" t="s">
        <v>397</v>
      </c>
      <c r="D53" s="1" t="s">
        <v>398</v>
      </c>
      <c r="E53" s="1" t="s">
        <v>399</v>
      </c>
      <c r="F53" s="1">
        <v>92</v>
      </c>
      <c r="G53" s="1">
        <v>89</v>
      </c>
      <c r="H53" s="1" t="s">
        <v>400</v>
      </c>
      <c r="I53" s="1" t="s">
        <v>401</v>
      </c>
      <c r="J53" s="1" t="s">
        <v>402</v>
      </c>
      <c r="K53" s="1" t="s">
        <v>402</v>
      </c>
      <c r="L53" s="20" t="s">
        <v>403</v>
      </c>
      <c r="M53" s="20" t="s">
        <v>404</v>
      </c>
      <c r="N53" s="1" t="s">
        <v>405</v>
      </c>
      <c r="O53" s="3">
        <v>1</v>
      </c>
      <c r="Q53" s="21">
        <v>86</v>
      </c>
      <c r="R53" s="22">
        <v>0.8571428571428571</v>
      </c>
      <c r="S53" s="1">
        <v>90</v>
      </c>
      <c r="T53" s="1">
        <v>100</v>
      </c>
      <c r="U53" s="2">
        <v>77</v>
      </c>
      <c r="V53" s="1">
        <f t="shared" si="0"/>
        <v>89.2</v>
      </c>
      <c r="W53" s="1">
        <f t="shared" si="1"/>
        <v>90</v>
      </c>
      <c r="X53" s="25" t="str">
        <f t="shared" si="2"/>
        <v>A</v>
      </c>
    </row>
    <row r="54" spans="1:24" x14ac:dyDescent="0.35">
      <c r="A54" s="1">
        <v>44</v>
      </c>
      <c r="B54" s="2">
        <v>241111590</v>
      </c>
      <c r="C54" s="1" t="s">
        <v>406</v>
      </c>
      <c r="D54" s="1" t="s">
        <v>407</v>
      </c>
      <c r="E54" s="1" t="s">
        <v>408</v>
      </c>
      <c r="F54" s="1">
        <v>90</v>
      </c>
      <c r="G54" s="1">
        <v>92</v>
      </c>
      <c r="H54" s="1" t="s">
        <v>384</v>
      </c>
      <c r="I54" s="1" t="s">
        <v>337</v>
      </c>
      <c r="J54" s="1" t="s">
        <v>409</v>
      </c>
      <c r="K54" s="1" t="s">
        <v>409</v>
      </c>
      <c r="L54" s="1" t="s">
        <v>410</v>
      </c>
      <c r="M54" s="1" t="s">
        <v>411</v>
      </c>
      <c r="N54" s="1" t="s">
        <v>412</v>
      </c>
      <c r="O54" s="3">
        <v>1</v>
      </c>
      <c r="P54" s="33">
        <v>1</v>
      </c>
      <c r="Q54" s="21">
        <v>87</v>
      </c>
      <c r="R54" s="22">
        <v>1</v>
      </c>
      <c r="S54" s="1">
        <v>100</v>
      </c>
      <c r="T54" s="1">
        <v>76</v>
      </c>
      <c r="U54" s="2">
        <v>100</v>
      </c>
      <c r="V54" s="1">
        <f t="shared" si="0"/>
        <v>89.95</v>
      </c>
      <c r="W54" s="1">
        <f t="shared" si="1"/>
        <v>90</v>
      </c>
      <c r="X54" s="25" t="str">
        <f t="shared" si="2"/>
        <v>A</v>
      </c>
    </row>
    <row r="55" spans="1:24" x14ac:dyDescent="0.35">
      <c r="A55" s="1">
        <v>45</v>
      </c>
      <c r="B55" s="2">
        <v>241111664</v>
      </c>
      <c r="C55" s="20" t="s">
        <v>413</v>
      </c>
      <c r="D55" s="1" t="s">
        <v>414</v>
      </c>
      <c r="E55" s="1" t="s">
        <v>415</v>
      </c>
      <c r="F55" s="1">
        <v>91</v>
      </c>
      <c r="G55" s="1">
        <v>89</v>
      </c>
      <c r="H55" s="1" t="s">
        <v>416</v>
      </c>
      <c r="I55" s="1" t="s">
        <v>417</v>
      </c>
      <c r="J55" s="1" t="s">
        <v>418</v>
      </c>
      <c r="K55" s="1" t="s">
        <v>418</v>
      </c>
      <c r="L55" s="20" t="s">
        <v>419</v>
      </c>
      <c r="M55" s="1" t="s">
        <v>172</v>
      </c>
      <c r="N55" s="1" t="s">
        <v>420</v>
      </c>
      <c r="O55" s="3">
        <v>0.87</v>
      </c>
      <c r="Q55" s="21">
        <v>73</v>
      </c>
      <c r="R55" s="22">
        <v>0.8571428571428571</v>
      </c>
      <c r="S55" s="1">
        <v>90</v>
      </c>
      <c r="T55" s="1">
        <v>96</v>
      </c>
      <c r="U55" s="2">
        <v>100</v>
      </c>
      <c r="V55" s="1">
        <f t="shared" si="0"/>
        <v>89.85</v>
      </c>
      <c r="W55" s="1">
        <f t="shared" si="1"/>
        <v>90</v>
      </c>
      <c r="X55" s="32" t="str">
        <f t="shared" si="2"/>
        <v>A</v>
      </c>
    </row>
    <row r="56" spans="1:24" s="4" customFormat="1" x14ac:dyDescent="0.35">
      <c r="A56" s="4">
        <v>46</v>
      </c>
      <c r="B56" s="26">
        <v>241111769</v>
      </c>
      <c r="C56" s="4" t="s">
        <v>421</v>
      </c>
      <c r="D56" s="4" t="s">
        <v>422</v>
      </c>
      <c r="E56" s="4" t="s">
        <v>423</v>
      </c>
      <c r="F56" s="1"/>
      <c r="G56" s="1"/>
      <c r="J56" s="1"/>
      <c r="L56" s="1"/>
      <c r="M56" s="1"/>
      <c r="N56" s="1"/>
      <c r="O56" s="27"/>
      <c r="P56" s="26"/>
      <c r="Q56" s="21"/>
      <c r="R56" s="22"/>
      <c r="U56" s="2"/>
      <c r="V56" s="1"/>
      <c r="W56" s="1"/>
      <c r="X56" s="23" t="str">
        <f t="shared" si="2"/>
        <v>E</v>
      </c>
    </row>
    <row r="57" spans="1:24" x14ac:dyDescent="0.35">
      <c r="A57" s="1">
        <v>47</v>
      </c>
      <c r="B57" s="2">
        <v>241111817</v>
      </c>
      <c r="C57" s="20" t="s">
        <v>424</v>
      </c>
      <c r="D57" s="1" t="s">
        <v>425</v>
      </c>
      <c r="E57" s="1" t="s">
        <v>426</v>
      </c>
      <c r="F57" s="1">
        <v>95</v>
      </c>
      <c r="G57" s="1">
        <v>94</v>
      </c>
      <c r="H57" s="1" t="s">
        <v>427</v>
      </c>
      <c r="I57" s="1" t="s">
        <v>428</v>
      </c>
      <c r="J57" s="1" t="s">
        <v>429</v>
      </c>
      <c r="K57" s="1" t="s">
        <v>429</v>
      </c>
      <c r="L57" s="1" t="s">
        <v>430</v>
      </c>
      <c r="M57" s="1" t="s">
        <v>431</v>
      </c>
      <c r="N57" s="1" t="s">
        <v>432</v>
      </c>
      <c r="O57" s="3">
        <v>1</v>
      </c>
      <c r="P57" s="33">
        <v>7</v>
      </c>
      <c r="Q57" s="21">
        <v>86</v>
      </c>
      <c r="R57" s="22">
        <v>0.8571428571428571</v>
      </c>
      <c r="S57" s="1">
        <v>100</v>
      </c>
      <c r="T57" s="1">
        <v>92</v>
      </c>
      <c r="U57" s="2">
        <v>100</v>
      </c>
      <c r="V57" s="1">
        <f t="shared" ref="V57:V69" si="3">($F$9*F57)+($G$9*G57)+($Q$9*Q57)+($S$9*S57)+($T$9*T57)+($U$9*U57)</f>
        <v>93.95</v>
      </c>
      <c r="W57" s="1">
        <f t="shared" si="1"/>
        <v>94</v>
      </c>
      <c r="X57" s="25" t="str">
        <f t="shared" si="2"/>
        <v>A</v>
      </c>
    </row>
    <row r="58" spans="1:24" x14ac:dyDescent="0.35">
      <c r="A58" s="1">
        <v>48</v>
      </c>
      <c r="B58" s="2">
        <v>241111987</v>
      </c>
      <c r="C58" s="1" t="s">
        <v>433</v>
      </c>
      <c r="D58" s="1" t="s">
        <v>434</v>
      </c>
      <c r="E58" s="1" t="s">
        <v>435</v>
      </c>
      <c r="F58" s="1">
        <v>95</v>
      </c>
      <c r="G58" s="1">
        <v>92</v>
      </c>
      <c r="H58" s="1" t="s">
        <v>436</v>
      </c>
      <c r="I58" s="1" t="s">
        <v>437</v>
      </c>
      <c r="J58" s="1" t="s">
        <v>438</v>
      </c>
      <c r="K58" s="1" t="s">
        <v>438</v>
      </c>
      <c r="L58" s="1" t="s">
        <v>439</v>
      </c>
      <c r="M58" s="1" t="s">
        <v>440</v>
      </c>
      <c r="N58" s="1" t="s">
        <v>441</v>
      </c>
      <c r="O58" s="3">
        <v>1</v>
      </c>
      <c r="Q58" s="21">
        <v>100</v>
      </c>
      <c r="R58" s="22">
        <v>1</v>
      </c>
      <c r="S58" s="1">
        <v>100</v>
      </c>
      <c r="T58" s="1">
        <v>96</v>
      </c>
      <c r="U58" s="2">
        <v>100</v>
      </c>
      <c r="V58" s="1">
        <f t="shared" si="3"/>
        <v>96.15</v>
      </c>
      <c r="W58" s="1">
        <f t="shared" si="1"/>
        <v>97</v>
      </c>
      <c r="X58" s="25" t="str">
        <f t="shared" si="2"/>
        <v>A</v>
      </c>
    </row>
    <row r="59" spans="1:24" x14ac:dyDescent="0.35">
      <c r="A59" s="1">
        <v>49</v>
      </c>
      <c r="B59" s="2">
        <v>241112044</v>
      </c>
      <c r="C59" s="20" t="s">
        <v>442</v>
      </c>
      <c r="D59" s="1" t="s">
        <v>443</v>
      </c>
      <c r="E59" s="1" t="s">
        <v>444</v>
      </c>
      <c r="F59" s="1">
        <v>91</v>
      </c>
      <c r="G59" s="1">
        <v>89</v>
      </c>
      <c r="H59" s="35" t="s">
        <v>445</v>
      </c>
      <c r="I59" s="1" t="s">
        <v>446</v>
      </c>
      <c r="J59" s="1" t="s">
        <v>447</v>
      </c>
      <c r="K59" s="1" t="s">
        <v>447</v>
      </c>
      <c r="L59" s="1" t="s">
        <v>448</v>
      </c>
      <c r="M59" s="1" t="s">
        <v>449</v>
      </c>
      <c r="N59" s="1" t="s">
        <v>450</v>
      </c>
      <c r="O59" s="3">
        <v>0.93</v>
      </c>
      <c r="Q59" s="21">
        <v>73</v>
      </c>
      <c r="R59" s="22">
        <v>0.8571428571428571</v>
      </c>
      <c r="S59" s="1">
        <v>90</v>
      </c>
      <c r="T59" s="1">
        <v>92</v>
      </c>
      <c r="U59" s="2">
        <v>100</v>
      </c>
      <c r="V59" s="1">
        <f t="shared" si="3"/>
        <v>89.25</v>
      </c>
      <c r="W59" s="1">
        <f t="shared" si="1"/>
        <v>90</v>
      </c>
      <c r="X59" s="32" t="str">
        <f t="shared" si="2"/>
        <v>A</v>
      </c>
    </row>
    <row r="60" spans="1:24" x14ac:dyDescent="0.35">
      <c r="A60" s="1">
        <v>50</v>
      </c>
      <c r="B60" s="2">
        <v>241112170</v>
      </c>
      <c r="C60" s="20" t="s">
        <v>451</v>
      </c>
      <c r="D60" s="1" t="s">
        <v>452</v>
      </c>
      <c r="E60" s="1" t="s">
        <v>453</v>
      </c>
      <c r="F60" s="1">
        <v>95</v>
      </c>
      <c r="G60" s="1">
        <v>94</v>
      </c>
      <c r="H60" s="1" t="s">
        <v>300</v>
      </c>
      <c r="I60" s="1" t="s">
        <v>454</v>
      </c>
      <c r="J60" s="1" t="s">
        <v>455</v>
      </c>
      <c r="K60" s="1" t="s">
        <v>455</v>
      </c>
      <c r="L60" s="1" t="s">
        <v>456</v>
      </c>
      <c r="M60" s="1" t="s">
        <v>457</v>
      </c>
      <c r="N60" s="1" t="s">
        <v>272</v>
      </c>
      <c r="O60" s="3">
        <v>0.93</v>
      </c>
      <c r="Q60" s="21">
        <v>86</v>
      </c>
      <c r="R60" s="22">
        <v>0.8571428571428571</v>
      </c>
      <c r="S60" s="1">
        <v>90</v>
      </c>
      <c r="T60" s="1">
        <v>100</v>
      </c>
      <c r="U60" s="2">
        <v>100</v>
      </c>
      <c r="V60" s="1">
        <f t="shared" si="3"/>
        <v>94.65</v>
      </c>
      <c r="W60" s="1">
        <f t="shared" si="1"/>
        <v>95</v>
      </c>
      <c r="X60" s="25" t="str">
        <f t="shared" si="2"/>
        <v>A</v>
      </c>
    </row>
    <row r="61" spans="1:24" x14ac:dyDescent="0.35">
      <c r="A61" s="1">
        <v>51</v>
      </c>
      <c r="B61" s="2">
        <v>241112201</v>
      </c>
      <c r="C61" s="1" t="s">
        <v>458</v>
      </c>
      <c r="D61" s="1" t="s">
        <v>459</v>
      </c>
      <c r="E61" s="1" t="s">
        <v>460</v>
      </c>
      <c r="F61" s="1">
        <v>74</v>
      </c>
      <c r="G61" s="1">
        <v>89</v>
      </c>
      <c r="H61" s="1" t="s">
        <v>393</v>
      </c>
      <c r="I61" s="1" t="s">
        <v>461</v>
      </c>
      <c r="J61" s="20" t="s">
        <v>462</v>
      </c>
      <c r="K61" s="20" t="s">
        <v>462</v>
      </c>
      <c r="L61" s="1" t="s">
        <v>463</v>
      </c>
      <c r="M61" s="1" t="s">
        <v>99</v>
      </c>
      <c r="N61" s="1" t="s">
        <v>464</v>
      </c>
      <c r="O61" s="3">
        <v>1</v>
      </c>
      <c r="P61" s="33">
        <v>6</v>
      </c>
      <c r="Q61" s="21">
        <v>59</v>
      </c>
      <c r="R61" s="22">
        <v>0.8571428571428571</v>
      </c>
      <c r="S61" s="1">
        <v>90</v>
      </c>
      <c r="T61" s="1">
        <v>98</v>
      </c>
      <c r="U61" s="2">
        <v>70</v>
      </c>
      <c r="V61" s="1">
        <f t="shared" si="3"/>
        <v>79.3</v>
      </c>
      <c r="W61" s="1">
        <f t="shared" si="1"/>
        <v>80</v>
      </c>
      <c r="X61" s="32" t="str">
        <f t="shared" si="2"/>
        <v>B+</v>
      </c>
    </row>
    <row r="62" spans="1:24" x14ac:dyDescent="0.35">
      <c r="A62" s="1">
        <v>52</v>
      </c>
      <c r="B62" s="2">
        <v>241112436</v>
      </c>
      <c r="C62" s="1" t="s">
        <v>465</v>
      </c>
      <c r="D62" s="1" t="s">
        <v>466</v>
      </c>
      <c r="E62" s="1" t="s">
        <v>467</v>
      </c>
      <c r="F62" s="1">
        <v>90</v>
      </c>
      <c r="G62" s="1">
        <v>92</v>
      </c>
      <c r="H62" s="1" t="s">
        <v>468</v>
      </c>
      <c r="I62" s="1" t="s">
        <v>469</v>
      </c>
      <c r="J62" s="1" t="s">
        <v>470</v>
      </c>
      <c r="K62" s="1" t="s">
        <v>470</v>
      </c>
      <c r="L62" s="1" t="s">
        <v>471</v>
      </c>
      <c r="M62" s="1" t="s">
        <v>472</v>
      </c>
      <c r="O62" s="3">
        <v>1</v>
      </c>
      <c r="Q62" s="21">
        <v>86</v>
      </c>
      <c r="R62" s="22">
        <v>0.8571428571428571</v>
      </c>
      <c r="S62" s="1">
        <v>100</v>
      </c>
      <c r="T62" s="1">
        <v>82</v>
      </c>
      <c r="U62" s="2">
        <v>100</v>
      </c>
      <c r="V62" s="1">
        <f t="shared" si="3"/>
        <v>90.7</v>
      </c>
      <c r="W62" s="1">
        <f t="shared" si="1"/>
        <v>91</v>
      </c>
      <c r="X62" s="25" t="str">
        <f t="shared" si="2"/>
        <v>A</v>
      </c>
    </row>
    <row r="63" spans="1:24" x14ac:dyDescent="0.35">
      <c r="A63" s="1">
        <v>53</v>
      </c>
      <c r="B63" s="2">
        <v>241112519</v>
      </c>
      <c r="C63" s="1" t="s">
        <v>473</v>
      </c>
      <c r="D63" s="1" t="s">
        <v>474</v>
      </c>
      <c r="E63" s="1" t="s">
        <v>475</v>
      </c>
      <c r="F63" s="1">
        <v>84</v>
      </c>
      <c r="G63" s="1">
        <v>82</v>
      </c>
      <c r="H63" s="1" t="s">
        <v>476</v>
      </c>
      <c r="I63" s="20" t="s">
        <v>477</v>
      </c>
      <c r="J63" s="1" t="s">
        <v>478</v>
      </c>
      <c r="K63" s="1" t="s">
        <v>478</v>
      </c>
      <c r="L63" s="1" t="s">
        <v>479</v>
      </c>
      <c r="M63" s="1" t="s">
        <v>480</v>
      </c>
      <c r="N63" s="1" t="s">
        <v>481</v>
      </c>
      <c r="O63" s="3">
        <v>0.93</v>
      </c>
      <c r="Q63" s="21">
        <v>29</v>
      </c>
      <c r="R63" s="22">
        <v>0.2857142857142857</v>
      </c>
      <c r="S63" s="1">
        <v>100</v>
      </c>
      <c r="T63" s="1">
        <v>60</v>
      </c>
      <c r="U63" s="2">
        <v>70</v>
      </c>
      <c r="V63" s="1">
        <f t="shared" si="3"/>
        <v>70.349999999999994</v>
      </c>
      <c r="W63" s="1">
        <f t="shared" si="1"/>
        <v>71</v>
      </c>
      <c r="X63" s="23" t="str">
        <f t="shared" si="2"/>
        <v>B-</v>
      </c>
    </row>
    <row r="64" spans="1:24" x14ac:dyDescent="0.35">
      <c r="A64" s="1">
        <v>54</v>
      </c>
      <c r="B64" s="2">
        <v>241112555</v>
      </c>
      <c r="C64" s="1" t="s">
        <v>406</v>
      </c>
      <c r="D64" s="1" t="s">
        <v>482</v>
      </c>
      <c r="E64" s="1" t="s">
        <v>483</v>
      </c>
      <c r="F64" s="1">
        <v>89</v>
      </c>
      <c r="G64" s="1">
        <v>91</v>
      </c>
      <c r="H64" s="1" t="s">
        <v>70</v>
      </c>
      <c r="I64" s="1" t="s">
        <v>484</v>
      </c>
      <c r="J64" s="1" t="s">
        <v>268</v>
      </c>
      <c r="K64" s="1" t="s">
        <v>268</v>
      </c>
      <c r="L64" s="1" t="s">
        <v>485</v>
      </c>
      <c r="M64" s="1" t="s">
        <v>486</v>
      </c>
      <c r="N64" s="1" t="s">
        <v>487</v>
      </c>
      <c r="O64" s="3">
        <v>0.87</v>
      </c>
      <c r="Q64" s="21">
        <v>72</v>
      </c>
      <c r="R64" s="22">
        <v>0.7142857142857143</v>
      </c>
      <c r="S64" s="1">
        <v>60</v>
      </c>
      <c r="T64" s="1">
        <v>92</v>
      </c>
      <c r="U64" s="2">
        <v>70</v>
      </c>
      <c r="V64" s="1">
        <f t="shared" si="3"/>
        <v>83.1</v>
      </c>
      <c r="W64" s="4">
        <f t="shared" si="1"/>
        <v>84</v>
      </c>
      <c r="X64" s="23" t="str">
        <f t="shared" si="2"/>
        <v>A-</v>
      </c>
    </row>
    <row r="65" spans="1:24" x14ac:dyDescent="0.35">
      <c r="A65" s="1">
        <v>55</v>
      </c>
      <c r="B65" s="36">
        <v>241112603</v>
      </c>
      <c r="C65" s="20" t="s">
        <v>488</v>
      </c>
      <c r="D65" s="1" t="s">
        <v>489</v>
      </c>
      <c r="E65" s="1" t="s">
        <v>490</v>
      </c>
      <c r="F65" s="1">
        <v>88</v>
      </c>
      <c r="G65" s="1">
        <v>88</v>
      </c>
      <c r="H65" s="1" t="s">
        <v>160</v>
      </c>
      <c r="I65" s="1" t="s">
        <v>491</v>
      </c>
      <c r="J65" s="1" t="s">
        <v>492</v>
      </c>
      <c r="K65" s="1" t="s">
        <v>492</v>
      </c>
      <c r="L65" s="1" t="s">
        <v>161</v>
      </c>
      <c r="M65" s="1" t="s">
        <v>493</v>
      </c>
      <c r="N65" s="1" t="s">
        <v>494</v>
      </c>
      <c r="O65" s="3">
        <v>1</v>
      </c>
      <c r="Q65" s="21">
        <v>29</v>
      </c>
      <c r="R65" s="22">
        <v>0.2857142857142857</v>
      </c>
      <c r="S65" s="1">
        <v>90</v>
      </c>
      <c r="T65" s="1">
        <v>100</v>
      </c>
      <c r="U65" s="2">
        <v>100</v>
      </c>
      <c r="V65" s="1">
        <f t="shared" si="3"/>
        <v>82.85</v>
      </c>
      <c r="W65" s="4">
        <f t="shared" si="1"/>
        <v>83</v>
      </c>
      <c r="X65" s="23" t="str">
        <f t="shared" si="2"/>
        <v>A-</v>
      </c>
    </row>
    <row r="66" spans="1:24" x14ac:dyDescent="0.35">
      <c r="A66" s="1">
        <v>56</v>
      </c>
      <c r="B66" s="2">
        <v>241112662</v>
      </c>
      <c r="C66" s="1" t="s">
        <v>495</v>
      </c>
      <c r="D66" s="1" t="s">
        <v>496</v>
      </c>
      <c r="E66" s="1" t="s">
        <v>497</v>
      </c>
      <c r="F66" s="1">
        <v>95</v>
      </c>
      <c r="G66" s="1">
        <v>92</v>
      </c>
      <c r="H66" s="1" t="s">
        <v>498</v>
      </c>
      <c r="I66" s="1" t="s">
        <v>240</v>
      </c>
      <c r="J66" s="1" t="s">
        <v>499</v>
      </c>
      <c r="K66" s="1" t="s">
        <v>499</v>
      </c>
      <c r="L66" s="1" t="s">
        <v>500</v>
      </c>
      <c r="M66" s="1" t="s">
        <v>501</v>
      </c>
      <c r="N66" s="1" t="s">
        <v>502</v>
      </c>
      <c r="O66" s="3">
        <v>1</v>
      </c>
      <c r="Q66" s="21">
        <v>86</v>
      </c>
      <c r="R66" s="22">
        <v>0.8571428571428571</v>
      </c>
      <c r="S66" s="1">
        <v>90</v>
      </c>
      <c r="T66" s="1">
        <v>88</v>
      </c>
      <c r="U66" s="2">
        <v>100</v>
      </c>
      <c r="V66" s="1">
        <f t="shared" si="3"/>
        <v>92.350000000000009</v>
      </c>
      <c r="W66" s="1">
        <f t="shared" si="1"/>
        <v>93</v>
      </c>
      <c r="X66" s="25" t="str">
        <f t="shared" si="2"/>
        <v>A</v>
      </c>
    </row>
    <row r="67" spans="1:24" s="20" customFormat="1" x14ac:dyDescent="0.35">
      <c r="A67" s="20">
        <v>57</v>
      </c>
      <c r="B67" s="28">
        <v>241112820</v>
      </c>
      <c r="C67" s="29" t="s">
        <v>503</v>
      </c>
      <c r="D67" s="20" t="s">
        <v>504</v>
      </c>
      <c r="E67" s="20" t="s">
        <v>505</v>
      </c>
      <c r="F67" s="1">
        <v>84</v>
      </c>
      <c r="G67" s="1">
        <v>82</v>
      </c>
      <c r="H67" s="20" t="s">
        <v>335</v>
      </c>
      <c r="I67" s="20" t="s">
        <v>506</v>
      </c>
      <c r="J67" s="20" t="s">
        <v>507</v>
      </c>
      <c r="K67" s="20" t="s">
        <v>507</v>
      </c>
      <c r="L67" s="20" t="s">
        <v>430</v>
      </c>
      <c r="M67" s="20" t="s">
        <v>438</v>
      </c>
      <c r="N67" s="20" t="s">
        <v>508</v>
      </c>
      <c r="O67" s="30">
        <v>1</v>
      </c>
      <c r="P67" s="28"/>
      <c r="Q67" s="21">
        <v>57</v>
      </c>
      <c r="R67" s="22">
        <v>0.5714285714285714</v>
      </c>
      <c r="S67" s="20">
        <v>90</v>
      </c>
      <c r="T67" s="20">
        <v>56</v>
      </c>
      <c r="U67" s="28">
        <v>90</v>
      </c>
      <c r="V67" s="1">
        <f t="shared" si="3"/>
        <v>76.449999999999989</v>
      </c>
      <c r="W67" s="1">
        <f t="shared" si="1"/>
        <v>77</v>
      </c>
      <c r="X67" s="23" t="str">
        <f t="shared" si="2"/>
        <v>B+</v>
      </c>
    </row>
    <row r="68" spans="1:24" x14ac:dyDescent="0.35">
      <c r="A68" s="1">
        <v>58</v>
      </c>
      <c r="B68" s="2">
        <v>241112931</v>
      </c>
      <c r="C68" s="20" t="s">
        <v>509</v>
      </c>
      <c r="D68" s="1" t="s">
        <v>510</v>
      </c>
      <c r="E68" s="1" t="s">
        <v>511</v>
      </c>
      <c r="F68" s="1">
        <v>95</v>
      </c>
      <c r="G68" s="1">
        <v>94</v>
      </c>
      <c r="H68" s="1" t="s">
        <v>246</v>
      </c>
      <c r="I68" s="1" t="s">
        <v>512</v>
      </c>
      <c r="J68" s="1" t="s">
        <v>513</v>
      </c>
      <c r="K68" s="1" t="s">
        <v>513</v>
      </c>
      <c r="L68" s="1" t="s">
        <v>514</v>
      </c>
      <c r="M68" s="1" t="s">
        <v>309</v>
      </c>
      <c r="N68" s="1" t="s">
        <v>296</v>
      </c>
      <c r="O68" s="3">
        <v>0.93</v>
      </c>
      <c r="P68" s="33">
        <v>1</v>
      </c>
      <c r="Q68" s="21">
        <v>22</v>
      </c>
      <c r="R68" s="22">
        <v>0.42857142857142855</v>
      </c>
      <c r="S68" s="1">
        <v>100</v>
      </c>
      <c r="T68" s="1">
        <v>98</v>
      </c>
      <c r="U68" s="2">
        <v>100</v>
      </c>
      <c r="V68" s="1">
        <f t="shared" si="3"/>
        <v>85.25</v>
      </c>
      <c r="W68" s="1">
        <f t="shared" si="1"/>
        <v>86</v>
      </c>
      <c r="X68" s="32" t="str">
        <f t="shared" si="2"/>
        <v>A</v>
      </c>
    </row>
    <row r="69" spans="1:24" ht="15" thickBot="1" x14ac:dyDescent="0.4">
      <c r="A69" s="1">
        <v>59</v>
      </c>
      <c r="B69" s="2">
        <v>241112984</v>
      </c>
      <c r="C69" s="1" t="s">
        <v>515</v>
      </c>
      <c r="D69" s="1" t="s">
        <v>516</v>
      </c>
      <c r="E69" s="1" t="s">
        <v>517</v>
      </c>
      <c r="F69" s="1">
        <v>92</v>
      </c>
      <c r="G69" s="1">
        <v>96</v>
      </c>
      <c r="H69" s="1" t="s">
        <v>518</v>
      </c>
      <c r="I69" s="1" t="s">
        <v>331</v>
      </c>
      <c r="J69" s="1" t="s">
        <v>519</v>
      </c>
      <c r="K69" s="1" t="s">
        <v>519</v>
      </c>
      <c r="L69" s="1" t="s">
        <v>520</v>
      </c>
      <c r="M69" s="1" t="s">
        <v>521</v>
      </c>
      <c r="N69" s="1" t="s">
        <v>163</v>
      </c>
      <c r="O69" s="3">
        <v>0.93</v>
      </c>
      <c r="Q69" s="21">
        <v>100</v>
      </c>
      <c r="R69" s="22">
        <v>1</v>
      </c>
      <c r="S69" s="37">
        <v>90</v>
      </c>
      <c r="T69" s="37">
        <v>94</v>
      </c>
      <c r="U69" s="38">
        <v>100</v>
      </c>
      <c r="V69" s="37">
        <f t="shared" si="3"/>
        <v>95.6</v>
      </c>
      <c r="W69" s="37">
        <f t="shared" si="1"/>
        <v>96</v>
      </c>
      <c r="X69" s="39" t="str">
        <f t="shared" si="2"/>
        <v>A</v>
      </c>
    </row>
  </sheetData>
  <sheetProtection formatCells="0" formatColumns="0" formatRows="0" insertColumns="0" insertRows="0" insertHyperlinks="0" deleteColumns="0" deleteRows="0" sort="0" autoFilter="0" pivotTables="0"/>
  <hyperlinks>
    <hyperlink ref="E12" r:id="rId1" xr:uid="{A69C8701-30F0-4864-8920-FBCAFF3EEEBF}"/>
    <hyperlink ref="E23" r:id="rId2" xr:uid="{AC1F6E5F-4287-47A8-83A6-D0E4F65E2D5A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Arisman Pili</dc:creator>
  <cp:lastModifiedBy>Arisman Pili</cp:lastModifiedBy>
  <dcterms:created xsi:type="dcterms:W3CDTF">2026-07-15T08:34:53Z</dcterms:created>
  <dcterms:modified xsi:type="dcterms:W3CDTF">2026-07-15T08:35:06Z</dcterms:modified>
</cp:coreProperties>
</file>